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xlsx\"/>
    </mc:Choice>
  </mc:AlternateContent>
  <xr:revisionPtr revIDLastSave="0" documentId="13_ncr:1_{B6E73522-289B-4D7D-8FBB-81A9149DA706}" xr6:coauthVersionLast="47" xr6:coauthVersionMax="47" xr10:uidLastSave="{00000000-0000-0000-0000-000000000000}"/>
  <bookViews>
    <workbookView xWindow="-98" yWindow="-98" windowWidth="22276" windowHeight="13996" activeTab="1" xr2:uid="{5E38A752-04D7-4C78-952F-E31FCF3159F7}"/>
  </bookViews>
  <sheets>
    <sheet name="Elementary" sheetId="1" r:id="rId1"/>
    <sheet name="Simulation" sheetId="4" r:id="rId2"/>
    <sheet name="Simulation (2)" sheetId="5" r:id="rId3"/>
  </sheets>
  <definedNames>
    <definedName name="_M" localSheetId="2">_xlfn.ANCHORARRAY('Simulation (2)'!$H$10)</definedName>
    <definedName name="_M">_xlfn.ANCHORARRAY(Simulation!$H$10)</definedName>
    <definedName name="_N" localSheetId="2">_xlfn.ANCHORARRAY('Simulation (2)'!$I$10)</definedName>
    <definedName name="_N">_xlfn.ANCHORARRAY(Simulation!$I$10)</definedName>
    <definedName name="A" localSheetId="2">_xlfn.ANCHORARRAY('Simulation (2)'!$K$10)</definedName>
    <definedName name="A">_xlfn.ANCHORARRAY(Simulation!$K$10)</definedName>
    <definedName name="ad">_xlfn.LAMBDA(_xlpm.x, _xlfn.VSTACK(_xlfn.TAKE(_xlpm.x,1), _xlfn.DROP(_xlpm.x,1) - _xlfn.DROP(_xlpm.x,-1)))</definedName>
    <definedName name="B_" localSheetId="2">_xlfn.ANCHORARRAY('Simulation (2)'!$C$10)</definedName>
    <definedName name="B_">_xlfn.ANCHORARRAY(Simulation!$C$10)</definedName>
    <definedName name="co">_xlfn.LAMBDA(_xlpm.x,_xlfn.LET(_xlpm.x_,_xlfn.DROP(_xlpm.x,-1),_xlfn.VSTACK(_xlpm.x_, -SUM(_xlpm.x_))))</definedName>
    <definedName name="dt" localSheetId="2">'Simulation (2)'!$C$6</definedName>
    <definedName name="dt">Simulation!$C$6</definedName>
    <definedName name="error" localSheetId="2">'Simulation (2)'!$G$6</definedName>
    <definedName name="error">Simulation!$G$6</definedName>
    <definedName name="f" localSheetId="2">'Simulation (2)'!$C$3</definedName>
    <definedName name="f">Simulation!$C$3</definedName>
    <definedName name="hedge" localSheetId="2">'Simulation (2)'!$G$5</definedName>
    <definedName name="hedge">Simulation!$G$5</definedName>
    <definedName name="k" localSheetId="2">'Simulation (2)'!$C$7</definedName>
    <definedName name="k">Simulation!$C$7</definedName>
    <definedName name="last" localSheetId="2">'Simulation (2)'!$G$3</definedName>
    <definedName name="last">Simulation!$G$3</definedName>
    <definedName name="M" localSheetId="2">_xlfn.ANCHORARRAY('Simulation (2)'!$F$10)</definedName>
    <definedName name="M">_xlfn.ANCHORARRAY(Simulation!$F$10)</definedName>
    <definedName name="mu" localSheetId="2">'Simulation (2)'!$C$2</definedName>
    <definedName name="mu">Simulation!$C$2</definedName>
    <definedName name="N" localSheetId="2">_xlfn.ANCHORARRAY('Simulation (2)'!$G$10)</definedName>
    <definedName name="N">_xlfn.ANCHORARRAY(Simulation!$G$10)</definedName>
    <definedName name="payoff" localSheetId="2">'Simulation (2)'!$G$4</definedName>
    <definedName name="payoff">Simulation!$G$4</definedName>
    <definedName name="put" localSheetId="2">'Simulation (2)'!$G$2</definedName>
    <definedName name="put">Simulation!$G$2</definedName>
    <definedName name="R_" localSheetId="2">_xlfn.ANCHORARRAY('Simulation (2)'!$D$10)</definedName>
    <definedName name="R_">_xlfn.ANCHORARRAY(Simulation!$D$10)</definedName>
    <definedName name="S_" localSheetId="2">_xlfn.ANCHORARRAY('Simulation (2)'!$E$10)</definedName>
    <definedName name="S_">_xlfn.ANCHORARRAY(Simulation!$E$10)</definedName>
    <definedName name="sigma" localSheetId="2">'Simulation (2)'!$C$4</definedName>
    <definedName name="sigma">Simulation!$C$4</definedName>
    <definedName name="t" localSheetId="2">'Simulation (2)'!$C$5</definedName>
    <definedName name="t">Simulation!$C$5</definedName>
    <definedName name="t_" localSheetId="2">_xlfn.ANCHORARRAY('Simulation (2)'!$B$10)</definedName>
    <definedName name="t_">_xlfn.ANCHORARRAY(Simulation!$B$10)</definedName>
    <definedName name="V" localSheetId="2">_xlfn.ANCHORARRAY('Simulation (2)'!$J$10)</definedName>
    <definedName name="V">_xlfn.ANCHORARRAY(Simulation!$J$10)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5" l="1"/>
  <c r="O3" i="5" a="1"/>
  <c r="O3" i="5" s="1"/>
  <c r="P3" i="5" s="1" a="1"/>
  <c r="P3" i="5" s="1"/>
  <c r="C6" i="4"/>
  <c r="O3" i="4" a="1"/>
  <c r="O3" i="4" s="1"/>
  <c r="P3" i="4" s="1" a="1"/>
  <c r="P3" i="4" s="1"/>
  <c r="H4" i="1"/>
  <c r="F5" i="1"/>
  <c r="D5" i="1"/>
  <c r="D4" i="1"/>
  <c r="K2" i="5" a="1"/>
  <c r="K2" i="4" a="1"/>
  <c r="G2" i="5" a="1"/>
  <c r="B1" i="5" a="1"/>
  <c r="B10" i="5" a="1"/>
  <c r="J2" i="5" a="1"/>
  <c r="G2" i="4" a="1"/>
  <c r="I2" i="4" a="1"/>
  <c r="I2" i="5" a="1"/>
  <c r="J2" i="4" a="1"/>
  <c r="B10" i="4" a="1"/>
  <c r="B1" i="4" a="1"/>
  <c r="I2" i="5" l="1"/>
  <c r="J2" i="5"/>
  <c r="L2" i="5" s="1"/>
  <c r="N21" i="5"/>
  <c r="P20" i="5"/>
  <c r="B10" i="5"/>
  <c r="B1" i="5"/>
  <c r="G2" i="5"/>
  <c r="K2" i="5"/>
  <c r="B1" i="4"/>
  <c r="N21" i="4"/>
  <c r="P20" i="4"/>
  <c r="K2" i="4"/>
  <c r="J2" i="4"/>
  <c r="I2" i="4"/>
  <c r="G2" i="4"/>
  <c r="B10" i="4"/>
  <c r="K5" i="1"/>
  <c r="E4" i="1"/>
  <c r="C10" i="4" a="1"/>
  <c r="M2" i="5" l="1"/>
  <c r="M14" i="4"/>
  <c r="C10" i="4"/>
  <c r="L2" i="4"/>
  <c r="M2" i="4" s="1"/>
  <c r="G4" i="1"/>
  <c r="E5" i="1"/>
  <c r="J5" i="1" s="1"/>
  <c r="L5" i="1" s="1"/>
  <c r="J4" i="1"/>
  <c r="C10" i="5" a="1"/>
  <c r="M20" i="4" a="1"/>
  <c r="M20" i="5" a="1"/>
  <c r="M21" i="5" l="1"/>
  <c r="M20" i="5"/>
  <c r="M14" i="5"/>
  <c r="C10" i="5"/>
  <c r="M21" i="4"/>
  <c r="M20" i="4"/>
  <c r="E10" i="4" a="1"/>
  <c r="D10" i="4" a="1"/>
  <c r="D10" i="4" s="1"/>
  <c r="G5" i="1" a="1"/>
  <c r="G5" i="1" s="1"/>
  <c r="I5" i="1" s="1"/>
  <c r="I4" i="1"/>
  <c r="O20" i="4" a="1"/>
  <c r="M16" i="4" a="1"/>
  <c r="D10" i="5" l="1" a="1"/>
  <c r="D10" i="5" s="1"/>
  <c r="E10" i="5" a="1"/>
  <c r="M16" i="4"/>
  <c r="N14" i="4"/>
  <c r="O20" i="4"/>
  <c r="O21" i="4"/>
  <c r="E10" i="4"/>
  <c r="M16" i="5" a="1"/>
  <c r="O20" i="5" a="1"/>
  <c r="I10" i="4" a="1"/>
  <c r="O21" i="5" l="1"/>
  <c r="O20" i="5"/>
  <c r="M16" i="5"/>
  <c r="E10" i="5"/>
  <c r="I10" i="5" s="1" a="1"/>
  <c r="I10" i="5" s="1"/>
  <c r="N14" i="5"/>
  <c r="N16" i="4"/>
  <c r="I10" i="4"/>
  <c r="L10" i="4" a="1"/>
  <c r="L10" i="4" s="1"/>
  <c r="G3" i="4" a="1"/>
  <c r="G3" i="4" s="1"/>
  <c r="G4" i="4" s="1"/>
  <c r="H4" i="4" a="1"/>
  <c r="G3" i="5" l="1" a="1"/>
  <c r="G3" i="5" s="1"/>
  <c r="G4" i="5" s="1"/>
  <c r="L10" i="5" a="1"/>
  <c r="L10" i="5" s="1"/>
  <c r="G10" i="4" a="1"/>
  <c r="G10" i="4" s="1"/>
  <c r="F10" i="4" s="1" a="1"/>
  <c r="H4" i="4"/>
  <c r="I4" i="4"/>
  <c r="H4" i="5" a="1"/>
  <c r="N16" i="5" l="1"/>
  <c r="G10" i="5" a="1"/>
  <c r="H4" i="5"/>
  <c r="I4" i="5"/>
  <c r="M10" i="4"/>
  <c r="M11" i="4"/>
  <c r="N11" i="4" s="1"/>
  <c r="F10" i="4"/>
  <c r="K10" i="4" s="1" a="1"/>
  <c r="K10" i="4" s="1"/>
  <c r="G5" i="4" s="1" a="1"/>
  <c r="G5" i="4" s="1"/>
  <c r="G6" i="4" s="1"/>
  <c r="H6" i="4" a="1"/>
  <c r="G10" i="5" l="1"/>
  <c r="M11" i="5"/>
  <c r="H6" i="4"/>
  <c r="I6" i="4"/>
  <c r="J6" i="4" s="1"/>
  <c r="N10" i="4"/>
  <c r="H10" i="4" a="1"/>
  <c r="H10" i="4" s="1"/>
  <c r="J10" i="4" s="1" a="1"/>
  <c r="J10" i="4" s="1"/>
  <c r="M10" i="5" l="1"/>
  <c r="F10" i="5" a="1"/>
  <c r="N11" i="5" l="1"/>
  <c r="F10" i="5"/>
  <c r="H10" i="5" l="1" a="1"/>
  <c r="H10" i="5" s="1"/>
  <c r="J10" i="5" s="1" a="1"/>
  <c r="J10" i="5" s="1"/>
  <c r="N10" i="5"/>
  <c r="K10" i="5" a="1"/>
  <c r="K10" i="5" s="1"/>
  <c r="G5" i="5" s="1" a="1"/>
  <c r="G5" i="5" s="1"/>
  <c r="G6" i="5" s="1"/>
  <c r="H6" i="5" a="1"/>
  <c r="H6" i="5" l="1"/>
  <c r="I6" i="5"/>
  <c r="J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11EC72C2-EA02-4BCF-BE17-CDD3CFEC86F9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4BB3A08D-CB16-4312-9768-215385A088D7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<sst xmlns="http://schemas.openxmlformats.org/spreadsheetml/2006/main" count="70" uniqueCount="32">
  <si>
    <t>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</si>
  <si>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</si>
  <si>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</si>
  <si>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</si>
  <si>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</si>
  <si>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</si>
  <si>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</si>
  <si>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</si>
  <si>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</si>
  <si>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</si>
  <si>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Γ</t>
  </si>
  <si>
    <t>(Δ+Γ).X</t>
  </si>
  <si>
    <t>-Γ.X</t>
  </si>
  <si>
    <t>Δ+Γ</t>
  </si>
  <si>
    <t>sigma</t>
  </si>
  <si>
    <t>mu</t>
  </si>
  <si>
    <t>f</t>
  </si>
  <si>
    <t>k</t>
  </si>
  <si>
    <t>R_</t>
  </si>
  <si>
    <t>S_</t>
  </si>
  <si>
    <t>put</t>
  </si>
  <si>
    <t>dt</t>
  </si>
  <si>
    <t>t_</t>
  </si>
  <si>
    <t>B_</t>
  </si>
  <si>
    <t>payoff</t>
  </si>
  <si>
    <t>hedge</t>
  </si>
  <si>
    <t>_M</t>
  </si>
  <si>
    <t>_N</t>
  </si>
  <si>
    <t>last</t>
  </si>
  <si>
    <t>error</t>
  </si>
  <si>
    <t>accuracy</t>
  </si>
  <si>
    <t>intrinsic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</si>
</sst>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0x&quot;#"/>
    <numFmt numFmtId="165" formatCode="0.0000"/>
    <numFmt numFmtId="166" formatCode="0.000"/>
    <numFmt numFmtId="167" formatCode="0.0%"/>
    <numFmt numFmtId="168" formatCode="_(* #,##0_);_(* \(#,##0\);_(* &quot;-&quot;??_);_(@_)"/>
  </numFmts>
  <fonts count="13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sz val="14"/>
      <color theme="0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  <font>
      <sz val="14"/>
      <color theme="0" tint="-0.34998626667073579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164" fontId="3" fillId="0" borderId="0">
      <alignment horizontal="center" vertical="center"/>
    </xf>
    <xf numFmtId="9" fontId="6" fillId="0" borderId="0" applyFont="0" applyFill="0" applyBorder="0" applyAlignment="0" applyProtection="0"/>
    <xf numFmtId="0" fontId="7" fillId="3" borderId="3" applyNumberFormat="0" applyAlignment="0" applyProtection="0"/>
    <xf numFmtId="43" fontId="6" fillId="0" borderId="0" applyFont="0" applyFill="0" applyBorder="0" applyAlignment="0" applyProtection="0"/>
    <xf numFmtId="0" fontId="8" fillId="4" borderId="4" applyNumberFormat="0" applyAlignment="0" applyProtection="0"/>
    <xf numFmtId="0" fontId="9" fillId="3" borderId="4" applyNumberFormat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5" fillId="0" borderId="0" xfId="0" applyFont="1"/>
    <xf numFmtId="165" fontId="0" fillId="0" borderId="0" xfId="0" applyNumberFormat="1"/>
    <xf numFmtId="165" fontId="5" fillId="0" borderId="0" xfId="0" applyNumberFormat="1" applyFont="1"/>
    <xf numFmtId="0" fontId="5" fillId="0" borderId="0" xfId="0" applyNumberFormat="1" applyFont="1" applyAlignment="1">
      <alignment horizontal="right"/>
    </xf>
    <xf numFmtId="166" fontId="0" fillId="0" borderId="0" xfId="0" applyNumberFormat="1"/>
    <xf numFmtId="2" fontId="0" fillId="0" borderId="0" xfId="0" applyNumberFormat="1"/>
    <xf numFmtId="165" fontId="7" fillId="3" borderId="3" xfId="4" applyNumberForma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/>
    <xf numFmtId="167" fontId="0" fillId="0" borderId="0" xfId="3" applyNumberFormat="1" applyFont="1" applyAlignment="1">
      <alignment horizontal="center"/>
    </xf>
    <xf numFmtId="168" fontId="11" fillId="0" borderId="0" xfId="5" applyNumberFormat="1" applyFont="1"/>
    <xf numFmtId="0" fontId="0" fillId="0" borderId="0" xfId="0" applyFill="1" applyBorder="1" applyAlignment="1">
      <alignment horizontal="center"/>
    </xf>
    <xf numFmtId="0" fontId="8" fillId="4" borderId="4" xfId="6"/>
    <xf numFmtId="0" fontId="9" fillId="3" borderId="4" xfId="7"/>
    <xf numFmtId="0" fontId="12" fillId="0" borderId="0" xfId="0" applyFont="1"/>
    <xf numFmtId="0" fontId="12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8">
    <cellStyle name="Calculation" xfId="7" builtinId="22"/>
    <cellStyle name="Check Cell" xfId="1" builtinId="23"/>
    <cellStyle name="Comma" xfId="5" builtinId="3"/>
    <cellStyle name="Handle" xfId="2" xr:uid="{FF7A162F-DF08-42FE-AEB2-120BB5405C33}"/>
    <cellStyle name="Input" xfId="6" builtinId="20"/>
    <cellStyle name="Normal" xfId="0" builtinId="0"/>
    <cellStyle name="Output" xfId="4" builtinId="21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Simulation!$C$9</c:f>
              <c:strCache>
                <c:ptCount val="1"/>
                <c:pt idx="0">
                  <c:v>B_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Simulation!$B$10:$B$72</c:f>
              <c:numCache>
                <c:formatCode>General</c:formatCode>
                <c:ptCount val="6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3.6000000000000004E-2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5.2000000000000005E-2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0.10400000000000001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0.14400000000000002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0.17200000000000001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0.20400000000000001</c:v>
                </c:pt>
                <c:pt idx="52">
                  <c:v>0.20800000000000002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0.23600000000000002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</c:numCache>
            </c:numRef>
          </c:xVal>
          <c:yVal>
            <c:numRef>
              <c:f>Simulation!$C$10:$C$72</c:f>
              <c:numCache>
                <c:formatCode>General</c:formatCode>
                <c:ptCount val="63"/>
                <c:pt idx="0">
                  <c:v>0</c:v>
                </c:pt>
                <c:pt idx="1">
                  <c:v>5.2089576551553746E-2</c:v>
                </c:pt>
                <c:pt idx="2">
                  <c:v>3.2817260497733744E-2</c:v>
                </c:pt>
                <c:pt idx="3">
                  <c:v>-3.1951730483285035E-3</c:v>
                </c:pt>
                <c:pt idx="4">
                  <c:v>0.10787987527032183</c:v>
                </c:pt>
                <c:pt idx="5">
                  <c:v>0.10648555722598418</c:v>
                </c:pt>
                <c:pt idx="6">
                  <c:v>0.11091546145198063</c:v>
                </c:pt>
                <c:pt idx="7">
                  <c:v>0.17072663836317631</c:v>
                </c:pt>
                <c:pt idx="8">
                  <c:v>0.19605995490899578</c:v>
                </c:pt>
                <c:pt idx="9">
                  <c:v>0.19112609286611534</c:v>
                </c:pt>
                <c:pt idx="10">
                  <c:v>0.24587537237107607</c:v>
                </c:pt>
                <c:pt idx="11">
                  <c:v>0.25487440997103938</c:v>
                </c:pt>
                <c:pt idx="12">
                  <c:v>0.27630031710585445</c:v>
                </c:pt>
                <c:pt idx="13">
                  <c:v>0.31132305629372864</c:v>
                </c:pt>
                <c:pt idx="14">
                  <c:v>0.37324050506127127</c:v>
                </c:pt>
                <c:pt idx="15">
                  <c:v>0.35415252345245807</c:v>
                </c:pt>
                <c:pt idx="16">
                  <c:v>0.5161568190806769</c:v>
                </c:pt>
                <c:pt idx="17">
                  <c:v>0.51734446621196939</c:v>
                </c:pt>
                <c:pt idx="18">
                  <c:v>0.47751968217527263</c:v>
                </c:pt>
                <c:pt idx="19">
                  <c:v>0.48211368867873877</c:v>
                </c:pt>
                <c:pt idx="20">
                  <c:v>0.48740210154083191</c:v>
                </c:pt>
                <c:pt idx="21">
                  <c:v>0.45905365800037878</c:v>
                </c:pt>
                <c:pt idx="22">
                  <c:v>0.42893998765311886</c:v>
                </c:pt>
                <c:pt idx="23">
                  <c:v>0.54688048000656653</c:v>
                </c:pt>
                <c:pt idx="24">
                  <c:v>0.57718958712773238</c:v>
                </c:pt>
                <c:pt idx="25">
                  <c:v>0.49128049548836805</c:v>
                </c:pt>
                <c:pt idx="26">
                  <c:v>0.53969718813836931</c:v>
                </c:pt>
                <c:pt idx="27">
                  <c:v>0.46490717595721726</c:v>
                </c:pt>
                <c:pt idx="28">
                  <c:v>0.46229450136284828</c:v>
                </c:pt>
                <c:pt idx="29">
                  <c:v>0.4331895013841775</c:v>
                </c:pt>
                <c:pt idx="30">
                  <c:v>0.5251928318102389</c:v>
                </c:pt>
                <c:pt idx="31">
                  <c:v>0.50681037343756852</c:v>
                </c:pt>
                <c:pt idx="32">
                  <c:v>0.44712508188580213</c:v>
                </c:pt>
                <c:pt idx="33">
                  <c:v>0.46946742433312155</c:v>
                </c:pt>
                <c:pt idx="34">
                  <c:v>0.44388229787344613</c:v>
                </c:pt>
                <c:pt idx="35">
                  <c:v>0.61659233353201059</c:v>
                </c:pt>
                <c:pt idx="36">
                  <c:v>0.67890796267445475</c:v>
                </c:pt>
                <c:pt idx="37">
                  <c:v>0.67658447398497079</c:v>
                </c:pt>
                <c:pt idx="38">
                  <c:v>0.68229123567249228</c:v>
                </c:pt>
                <c:pt idx="39">
                  <c:v>0.59885606217113718</c:v>
                </c:pt>
                <c:pt idx="40">
                  <c:v>0.69351148281152941</c:v>
                </c:pt>
                <c:pt idx="41">
                  <c:v>0.66568800991491428</c:v>
                </c:pt>
                <c:pt idx="42">
                  <c:v>0.62935490331474286</c:v>
                </c:pt>
                <c:pt idx="43">
                  <c:v>0.60957847243184127</c:v>
                </c:pt>
                <c:pt idx="44">
                  <c:v>0.62700674757993413</c:v>
                </c:pt>
                <c:pt idx="45">
                  <c:v>0.64132511897383726</c:v>
                </c:pt>
                <c:pt idx="46">
                  <c:v>0.65782831248675533</c:v>
                </c:pt>
                <c:pt idx="47">
                  <c:v>0.64235078789571765</c:v>
                </c:pt>
                <c:pt idx="48">
                  <c:v>0.662384765376407</c:v>
                </c:pt>
                <c:pt idx="49">
                  <c:v>0.73119859294068623</c:v>
                </c:pt>
                <c:pt idx="50">
                  <c:v>0.79290798755025516</c:v>
                </c:pt>
                <c:pt idx="51">
                  <c:v>0.78282330367305986</c:v>
                </c:pt>
                <c:pt idx="52">
                  <c:v>0.71992655556273177</c:v>
                </c:pt>
                <c:pt idx="53">
                  <c:v>0.77959706827084396</c:v>
                </c:pt>
                <c:pt idx="54">
                  <c:v>0.78364741119686943</c:v>
                </c:pt>
                <c:pt idx="55">
                  <c:v>0.78852309851795421</c:v>
                </c:pt>
                <c:pt idx="56">
                  <c:v>0.82432001732875915</c:v>
                </c:pt>
                <c:pt idx="57">
                  <c:v>0.66729348735168936</c:v>
                </c:pt>
                <c:pt idx="58">
                  <c:v>0.7662468424471256</c:v>
                </c:pt>
                <c:pt idx="59">
                  <c:v>0.8004005467730847</c:v>
                </c:pt>
                <c:pt idx="60">
                  <c:v>0.79221234774450988</c:v>
                </c:pt>
                <c:pt idx="61">
                  <c:v>0.78814415576952479</c:v>
                </c:pt>
                <c:pt idx="62">
                  <c:v>0.78714587266686697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A-4CEB-9F25-45B1CDADE32E}"/>
            </c:ext>
          </c:extLst>
        </c:ser>
        <c:ser>
          <c:idx val="1"/>
          <c:order val="1"/>
          <c:tx>
            <c:strRef>
              <c:f>Simulation!$D$9</c:f>
              <c:strCache>
                <c:ptCount val="1"/>
                <c:pt idx="0">
                  <c:v>R_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Simulation!$B$10:$B$72</c:f>
              <c:numCache>
                <c:formatCode>General</c:formatCode>
                <c:ptCount val="6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3.6000000000000004E-2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5.2000000000000005E-2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0.10400000000000001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0.14400000000000002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0.17200000000000001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0.20400000000000001</c:v>
                </c:pt>
                <c:pt idx="52">
                  <c:v>0.20800000000000002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0.23600000000000002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</c:numCache>
            </c:numRef>
          </c:xVal>
          <c:yVal>
            <c:numRef>
              <c:f>Simulation!$D$10:$D$72</c:f>
              <c:numCache>
                <c:formatCode>General</c:formatCode>
                <c:ptCount val="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A-4CEB-9F25-45B1CDADE32E}"/>
            </c:ext>
          </c:extLst>
        </c:ser>
        <c:ser>
          <c:idx val="4"/>
          <c:order val="2"/>
          <c:tx>
            <c:strRef>
              <c:f>Simulation!$G$9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Simulation!$B$10:$B$72</c:f>
              <c:numCache>
                <c:formatCode>General</c:formatCode>
                <c:ptCount val="6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3.6000000000000004E-2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5.2000000000000005E-2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0.10400000000000001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0.14400000000000002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0.17200000000000001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0.20400000000000001</c:v>
                </c:pt>
                <c:pt idx="52">
                  <c:v>0.20800000000000002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0.23600000000000002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</c:numCache>
            </c:numRef>
          </c:xVal>
          <c:yVal>
            <c:numRef>
              <c:f>Simulation!$G$10:$G$72</c:f>
              <c:numCache>
                <c:formatCode>0.0000</c:formatCode>
                <c:ptCount val="63"/>
                <c:pt idx="0">
                  <c:v>-0.48006119416162751</c:v>
                </c:pt>
                <c:pt idx="1">
                  <c:v>4.1183245928421153E-2</c:v>
                </c:pt>
                <c:pt idx="2">
                  <c:v>-1.5630828917487183E-2</c:v>
                </c:pt>
                <c:pt idx="3">
                  <c:v>-2.9627071117111936E-2</c:v>
                </c:pt>
                <c:pt idx="4">
                  <c:v>8.9817035300763848E-2</c:v>
                </c:pt>
                <c:pt idx="5">
                  <c:v>-8.6788758552319711E-4</c:v>
                </c:pt>
                <c:pt idx="6">
                  <c:v>3.8371821631886793E-3</c:v>
                </c:pt>
                <c:pt idx="7">
                  <c:v>4.8067140347521853E-2</c:v>
                </c:pt>
                <c:pt idx="8">
                  <c:v>2.0434938681452131E-2</c:v>
                </c:pt>
                <c:pt idx="9">
                  <c:v>-2.9192088230024504E-3</c:v>
                </c:pt>
                <c:pt idx="10">
                  <c:v>4.2661298618480892E-2</c:v>
                </c:pt>
                <c:pt idx="11">
                  <c:v>7.9345362962651156E-3</c:v>
                </c:pt>
                <c:pt idx="12">
                  <c:v>1.7009603557336217E-2</c:v>
                </c:pt>
                <c:pt idx="13">
                  <c:v>2.62165529395606E-2</c:v>
                </c:pt>
                <c:pt idx="14">
                  <c:v>4.217086699102901E-2</c:v>
                </c:pt>
                <c:pt idx="15">
                  <c:v>-1.0034653164481655E-2</c:v>
                </c:pt>
                <c:pt idx="16">
                  <c:v>8.9539301010200856E-2</c:v>
                </c:pt>
                <c:pt idx="17">
                  <c:v>2.6697278178560713E-3</c:v>
                </c:pt>
                <c:pt idx="18">
                  <c:v>-1.6046039796756617E-2</c:v>
                </c:pt>
                <c:pt idx="19">
                  <c:v>4.500672361136826E-3</c:v>
                </c:pt>
                <c:pt idx="20">
                  <c:v>4.8407041283230479E-3</c:v>
                </c:pt>
                <c:pt idx="21">
                  <c:v>-1.142207339403073E-2</c:v>
                </c:pt>
                <c:pt idx="22">
                  <c:v>-1.3435096911645683E-2</c:v>
                </c:pt>
                <c:pt idx="23">
                  <c:v>5.7265326198289668E-2</c:v>
                </c:pt>
                <c:pt idx="24">
                  <c:v>1.3202786124157539E-2</c:v>
                </c:pt>
                <c:pt idx="25">
                  <c:v>-3.1335093979545203E-2</c:v>
                </c:pt>
                <c:pt idx="26">
                  <c:v>2.272448666186605E-2</c:v>
                </c:pt>
                <c:pt idx="27">
                  <c:v>-2.9674730702079433E-2</c:v>
                </c:pt>
                <c:pt idx="28">
                  <c:v>1.5940173918307932E-3</c:v>
                </c:pt>
                <c:pt idx="29">
                  <c:v>-1.1973012539879313E-2</c:v>
                </c:pt>
                <c:pt idx="30">
                  <c:v>4.5129441532622161E-2</c:v>
                </c:pt>
                <c:pt idx="31">
                  <c:v>-4.3689952241133811E-3</c:v>
                </c:pt>
                <c:pt idx="32">
                  <c:v>-2.3957614318918186E-2</c:v>
                </c:pt>
                <c:pt idx="33">
                  <c:v>1.4049851690700776E-2</c:v>
                </c:pt>
                <c:pt idx="34">
                  <c:v>-8.9064222971892426E-3</c:v>
                </c:pt>
                <c:pt idx="35">
                  <c:v>6.3258071146853223E-2</c:v>
                </c:pt>
                <c:pt idx="36">
                  <c:v>1.3093858499386934E-2</c:v>
                </c:pt>
                <c:pt idx="37">
                  <c:v>1.3728890275054861E-3</c:v>
                </c:pt>
                <c:pt idx="38">
                  <c:v>2.3869226940715915E-3</c:v>
                </c:pt>
                <c:pt idx="39">
                  <c:v>-1.1316727701769724E-2</c:v>
                </c:pt>
                <c:pt idx="40">
                  <c:v>1.5558248761982141E-2</c:v>
                </c:pt>
                <c:pt idx="41">
                  <c:v>-1.3782317811195655E-3</c:v>
                </c:pt>
                <c:pt idx="42">
                  <c:v>-2.651912840507864E-3</c:v>
                </c:pt>
                <c:pt idx="43">
                  <c:v>-7.2975839770689221E-4</c:v>
                </c:pt>
                <c:pt idx="44">
                  <c:v>4.1357617728178253E-3</c:v>
                </c:pt>
                <c:pt idx="45">
                  <c:v>3.0821017018252683E-3</c:v>
                </c:pt>
                <c:pt idx="46">
                  <c:v>2.6426533779264072E-3</c:v>
                </c:pt>
                <c:pt idx="47">
                  <c:v>2.402109798330665E-4</c:v>
                </c:pt>
                <c:pt idx="48">
                  <c:v>2.1951796816402913E-3</c:v>
                </c:pt>
                <c:pt idx="49">
                  <c:v>2.5057889595631044E-3</c:v>
                </c:pt>
                <c:pt idx="50">
                  <c:v>7.6442275416133132E-4</c:v>
                </c:pt>
                <c:pt idx="51">
                  <c:v>7.7459112652944473E-5</c:v>
                </c:pt>
                <c:pt idx="52">
                  <c:v>-1.2543450409330248E-4</c:v>
                </c:pt>
                <c:pt idx="53">
                  <c:v>2.5355368213780816E-4</c:v>
                </c:pt>
                <c:pt idx="54">
                  <c:v>2.9614984785597542E-5</c:v>
                </c:pt>
                <c:pt idx="55">
                  <c:v>1.2096397129124359E-5</c:v>
                </c:pt>
                <c:pt idx="56">
                  <c:v>4.1360811772195305E-6</c:v>
                </c:pt>
                <c:pt idx="57">
                  <c:v>-6.2001238569919792E-6</c:v>
                </c:pt>
                <c:pt idx="58">
                  <c:v>6.4887856552897638E-6</c:v>
                </c:pt>
                <c:pt idx="59">
                  <c:v>1.4116335600444785E-8</c:v>
                </c:pt>
                <c:pt idx="60">
                  <c:v>2.399530574237474E-11</c:v>
                </c:pt>
                <c:pt idx="61">
                  <c:v>7.2164496600635175E-15</c:v>
                </c:pt>
                <c:pt idx="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BA-4CEB-9F25-45B1CDADE32E}"/>
            </c:ext>
          </c:extLst>
        </c:ser>
        <c:ser>
          <c:idx val="7"/>
          <c:order val="3"/>
          <c:tx>
            <c:strRef>
              <c:f>Simulation!$J$9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Simulation!$B$10:$B$72</c:f>
              <c:numCache>
                <c:formatCode>General</c:formatCode>
                <c:ptCount val="6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3.6000000000000004E-2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5.2000000000000005E-2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0.10400000000000001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0.14400000000000002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0.17200000000000001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0.20400000000000001</c:v>
                </c:pt>
                <c:pt idx="52">
                  <c:v>0.20800000000000002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0.23600000000000002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</c:numCache>
            </c:numRef>
          </c:xVal>
          <c:yVal>
            <c:numRef>
              <c:f>Simulation!$J$10:$J$72</c:f>
              <c:numCache>
                <c:formatCode>0.0000</c:formatCode>
                <c:ptCount val="63"/>
                <c:pt idx="0">
                  <c:v>3.987761167674492</c:v>
                </c:pt>
                <c:pt idx="1">
                  <c:v>3.4889038412130162</c:v>
                </c:pt>
                <c:pt idx="2">
                  <c:v>3.6630303411861931</c:v>
                </c:pt>
                <c:pt idx="3">
                  <c:v>3.9949420298187803</c:v>
                </c:pt>
                <c:pt idx="4">
                  <c:v>2.9123106273980568</c:v>
                </c:pt>
                <c:pt idx="5">
                  <c:v>2.9267627070595736</c:v>
                </c:pt>
                <c:pt idx="6">
                  <c:v>2.8942257023917222</c:v>
                </c:pt>
                <c:pt idx="7">
                  <c:v>2.4161779972196484</c:v>
                </c:pt>
                <c:pt idx="8">
                  <c:v>2.2387056190069501</c:v>
                </c:pt>
                <c:pt idx="9">
                  <c:v>2.2744813978623384</c:v>
                </c:pt>
                <c:pt idx="10">
                  <c:v>1.9048394816493825</c:v>
                </c:pt>
                <c:pt idx="11">
                  <c:v>1.8536936255531238</c:v>
                </c:pt>
                <c:pt idx="12">
                  <c:v>1.731778806236612</c:v>
                </c:pt>
                <c:pt idx="13">
                  <c:v>1.5423835315481575</c:v>
                </c:pt>
                <c:pt idx="14">
                  <c:v>1.2371188199090106</c:v>
                </c:pt>
                <c:pt idx="15">
                  <c:v>1.3165735686164162</c:v>
                </c:pt>
                <c:pt idx="16">
                  <c:v>0.61289525916570398</c:v>
                </c:pt>
                <c:pt idx="17">
                  <c:v>0.61097160583581456</c:v>
                </c:pt>
                <c:pt idx="18">
                  <c:v>0.70645617288205109</c:v>
                </c:pt>
                <c:pt idx="19">
                  <c:v>0.69505706528194366</c:v>
                </c:pt>
                <c:pt idx="20">
                  <c:v>0.68224258630844048</c:v>
                </c:pt>
                <c:pt idx="21">
                  <c:v>0.75436968477084676</c:v>
                </c:pt>
                <c:pt idx="22">
                  <c:v>0.83807804348919746</c:v>
                </c:pt>
                <c:pt idx="23">
                  <c:v>0.4780441146081138</c:v>
                </c:pt>
                <c:pt idx="24">
                  <c:v>0.42333021935716264</c:v>
                </c:pt>
                <c:pt idx="25">
                  <c:v>0.55502153063301485</c:v>
                </c:pt>
                <c:pt idx="26">
                  <c:v>0.44874550131482138</c:v>
                </c:pt>
                <c:pt idx="27">
                  <c:v>0.57700911545074263</c:v>
                </c:pt>
                <c:pt idx="28">
                  <c:v>0.5840656428627149</c:v>
                </c:pt>
                <c:pt idx="29">
                  <c:v>0.65192394471958082</c:v>
                </c:pt>
                <c:pt idx="30">
                  <c:v>0.41584614597898373</c:v>
                </c:pt>
                <c:pt idx="31">
                  <c:v>0.44585490867273059</c:v>
                </c:pt>
                <c:pt idx="32">
                  <c:v>0.54686090029077228</c:v>
                </c:pt>
                <c:pt idx="33">
                  <c:v>0.49862244694543456</c:v>
                </c:pt>
                <c:pt idx="34">
                  <c:v>0.54774690982476493</c:v>
                </c:pt>
                <c:pt idx="35">
                  <c:v>0.18314526400801423</c:v>
                </c:pt>
                <c:pt idx="36">
                  <c:v>0.13795073492425924</c:v>
                </c:pt>
                <c:pt idx="37">
                  <c:v>0.1391361273832965</c:v>
                </c:pt>
                <c:pt idx="38">
                  <c:v>0.13699219491761849</c:v>
                </c:pt>
                <c:pt idx="39">
                  <c:v>0.16606182541001102</c:v>
                </c:pt>
                <c:pt idx="40">
                  <c:v>0.10914467529719118</c:v>
                </c:pt>
                <c:pt idx="41">
                  <c:v>0.11627218161501496</c:v>
                </c:pt>
                <c:pt idx="42">
                  <c:v>0.12663735691887523</c:v>
                </c:pt>
                <c:pt idx="43">
                  <c:v>0.13350548640236304</c:v>
                </c:pt>
                <c:pt idx="44">
                  <c:v>0.12743055853593699</c:v>
                </c:pt>
                <c:pt idx="45">
                  <c:v>0.12375201567204841</c:v>
                </c:pt>
                <c:pt idx="46">
                  <c:v>0.12060947766544072</c:v>
                </c:pt>
                <c:pt idx="47">
                  <c:v>0.12275590002365067</c:v>
                </c:pt>
                <c:pt idx="48">
                  <c:v>0.12020772359768273</c:v>
                </c:pt>
                <c:pt idx="49">
                  <c:v>0.11468953229835124</c:v>
                </c:pt>
                <c:pt idx="50">
                  <c:v>0.11324412771602875</c:v>
                </c:pt>
                <c:pt idx="51">
                  <c:v>0.11330567324249768</c:v>
                </c:pt>
                <c:pt idx="52">
                  <c:v>0.11356100794393292</c:v>
                </c:pt>
                <c:pt idx="53">
                  <c:v>0.11314998777612861</c:v>
                </c:pt>
                <c:pt idx="54">
                  <c:v>0.11314606521304393</c:v>
                </c:pt>
                <c:pt idx="55">
                  <c:v>0.11314434062136085</c:v>
                </c:pt>
                <c:pt idx="56">
                  <c:v>0.11314066452649721</c:v>
                </c:pt>
                <c:pt idx="57">
                  <c:v>0.11314176632386945</c:v>
                </c:pt>
                <c:pt idx="58">
                  <c:v>0.11312704057593874</c:v>
                </c:pt>
                <c:pt idx="59">
                  <c:v>0.11312702946327456</c:v>
                </c:pt>
                <c:pt idx="60">
                  <c:v>0.11312702946808614</c:v>
                </c:pt>
                <c:pt idx="61">
                  <c:v>0.11312702946808689</c:v>
                </c:pt>
                <c:pt idx="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BA-4CEB-9F25-45B1CDADE32E}"/>
            </c:ext>
          </c:extLst>
        </c:ser>
        <c:ser>
          <c:idx val="8"/>
          <c:order val="4"/>
          <c:tx>
            <c:strRef>
              <c:f>Simulation!$K$9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Simulation!$B$10:$B$72</c:f>
              <c:numCache>
                <c:formatCode>General</c:formatCode>
                <c:ptCount val="6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3.6000000000000004E-2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5.2000000000000005E-2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0.10400000000000001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0.14400000000000002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0.17200000000000001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0.20400000000000001</c:v>
                </c:pt>
                <c:pt idx="52">
                  <c:v>0.20800000000000002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0.23600000000000002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</c:numCache>
            </c:numRef>
          </c:xVal>
          <c:yVal>
            <c:numRef>
              <c:f>Simulation!$K$10:$K$72</c:f>
              <c:numCache>
                <c:formatCode>General</c:formatCode>
                <c:ptCount val="63"/>
                <c:pt idx="0">
                  <c:v>-3.987761167674492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0.11312702946808689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BA-4CEB-9F25-45B1CDADE32E}"/>
            </c:ext>
          </c:extLst>
        </c:ser>
        <c:ser>
          <c:idx val="9"/>
          <c:order val="5"/>
          <c:tx>
            <c:strRef>
              <c:f>Simulation!$L$9</c:f>
              <c:strCache>
                <c:ptCount val="1"/>
                <c:pt idx="0">
                  <c:v>intrinsic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Simulation!$B$10:$B$72</c:f>
              <c:numCache>
                <c:formatCode>General</c:formatCode>
                <c:ptCount val="6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3.6000000000000004E-2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5.2000000000000005E-2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0.10400000000000001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0.14400000000000002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0.17200000000000001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0.20400000000000001</c:v>
                </c:pt>
                <c:pt idx="52">
                  <c:v>0.20800000000000002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0.23600000000000002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</c:numCache>
            </c:numRef>
          </c:xVal>
          <c:yVal>
            <c:numRef>
              <c:f>Simulation!$L$10:$L$72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8.786483719237026E-2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BA-4CEB-9F25-45B1CDADE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509279"/>
        <c:axId val="933508799"/>
      </c:scatterChart>
      <c:valAx>
        <c:axId val="93350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08799"/>
        <c:crosses val="autoZero"/>
        <c:crossBetween val="midCat"/>
      </c:valAx>
      <c:valAx>
        <c:axId val="93350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09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419099</xdr:colOff>
      <xdr:row>10</xdr:row>
      <xdr:rowOff>104775</xdr:rowOff>
    </xdr:from>
    <xdr:to>
      <xdr:col>13</xdr:col>
      <xdr:colOff>666749</xdr:colOff>
      <xdr:row>30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4F078-D460-E079-092D-9E09E3F45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DB-807E-4762-83AC-A616811C3245}">
  <dimension ref="B2:L6"/>
  <sheetViews>
    <sheetView workbookViewId="0"/>
  </sheetViews>
  <sheetFormatPr defaultRowHeight="18" x14ac:dyDescent="0.55000000000000004"/>
  <cols>
    <col min="1" max="1" width="3.578125" customWidth="1"/>
  </cols>
  <sheetData>
    <row r="2" spans="2:12" x14ac:dyDescent="0.55000000000000004">
      <c r="C2" s="24" t="s">
        <v>0</v>
      </c>
      <c r="D2" s="24"/>
      <c r="E2" s="25" t="s">
        <v>10</v>
      </c>
      <c r="F2" s="25"/>
      <c r="G2" s="25" t="s">
        <v>13</v>
      </c>
      <c r="H2" s="25"/>
      <c r="I2" s="1" t="s">
        <v>11</v>
      </c>
      <c r="J2" s="3" t="s">
        <v>12</v>
      </c>
    </row>
    <row r="3" spans="2:12" x14ac:dyDescent="0.55000000000000004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2:12" ht="18.399999999999999" thickBot="1" x14ac:dyDescent="0.6">
      <c r="B4">
        <v>0</v>
      </c>
      <c r="C4">
        <v>1</v>
      </c>
      <c r="D4">
        <f ca="1">RAND()</f>
        <v>0.94093689632341027</v>
      </c>
      <c r="E4">
        <f ca="1">-F4*D4</f>
        <v>-2.8228106889702307</v>
      </c>
      <c r="F4" s="20">
        <v>3</v>
      </c>
      <c r="G4">
        <f ca="1">E4</f>
        <v>-2.8228106889702307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8.75" thickTop="1" thickBot="1" x14ac:dyDescent="0.6">
      <c r="B5">
        <v>1</v>
      </c>
      <c r="C5">
        <v>1</v>
      </c>
      <c r="D5">
        <f ca="1">RAND()</f>
        <v>0.47974202563498158</v>
      </c>
      <c r="E5">
        <f ca="1">-E4</f>
        <v>2.8228106889702307</v>
      </c>
      <c r="F5" s="21">
        <f>-F4</f>
        <v>-3</v>
      </c>
      <c r="G5" cm="1">
        <f t="array" aca="1" ref="G5:H5" ca="1">G4:H4+E5:F5</f>
        <v>0</v>
      </c>
      <c r="H5">
        <f ca="1"/>
        <v>0</v>
      </c>
      <c r="I5">
        <f ca="1">SUMPRODUCT(G5:H5,C5:D5)</f>
        <v>0</v>
      </c>
      <c r="J5">
        <f ca="1">-SUMPRODUCT(E5:F5,C5:D5)</f>
        <v>-1.3835846120652859</v>
      </c>
      <c r="K5">
        <f ca="1">F4*(D5-D4)</f>
        <v>-1.3835846120652859</v>
      </c>
      <c r="L5" s="6">
        <f ca="1">J5-K5</f>
        <v>0</v>
      </c>
    </row>
    <row r="6" spans="2:12" ht="18.399999999999999" thickTop="1" x14ac:dyDescent="0.55000000000000004"/>
  </sheetData>
  <mergeCells count="3">
    <mergeCell ref="C2:D2"/>
    <mergeCell ref="E2:F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2DD-292F-41DF-A786-89DEB5029ACA}">
  <dimension ref="B1:P208"/>
  <sheetViews>
    <sheetView tabSelected="1" topLeftCell="A9" workbookViewId="0">
      <selection activeCell="B9" sqref="B9:L72"/>
    </sheetView>
  </sheetViews>
  <sheetFormatPr defaultRowHeight="18" x14ac:dyDescent="0.55000000000000004"/>
  <cols>
    <col min="1" max="1" width="3.578125" customWidth="1"/>
    <col min="2" max="2" width="9.89453125" bestFit="1" customWidth="1"/>
    <col min="7" max="7" width="11.68359375" bestFit="1" customWidth="1"/>
    <col min="10" max="10" width="10.20703125" bestFit="1" customWidth="1"/>
    <col min="13" max="13" width="11.68359375" bestFit="1" customWidth="1"/>
  </cols>
  <sheetData>
    <row r="1" spans="2:16" x14ac:dyDescent="0.55000000000000004">
      <c r="B1" s="18" cm="1">
        <f t="array" aca="1" ref="B1" ca="1">_xll.MONTE.COUNT()</f>
        <v>30423</v>
      </c>
    </row>
    <row r="2" spans="2:16" x14ac:dyDescent="0.55000000000000004">
      <c r="B2" s="4" t="s">
        <v>15</v>
      </c>
      <c r="C2">
        <v>0</v>
      </c>
      <c r="F2" s="4" t="s">
        <v>20</v>
      </c>
      <c r="G2" s="8" cm="1">
        <f t="array" ref="G2">_xll.OPTION.BLACK.PUT(f, sigma*SQRT(t), k)</f>
        <v>3.987761167674492</v>
      </c>
      <c r="I2" s="9" cm="1">
        <f t="array" ref="I2">_xll.OPTION.BLACK.PUT_DELTA(f, sigma*SQRT(t), k)</f>
        <v>-0.48006119416162751</v>
      </c>
      <c r="J2" s="9" cm="1">
        <f t="array" ref="J2">_xll.OPTION.BLACK.PUT(f+0.01, sigma*SQRT(t), k)</f>
        <v>3.9829625478526722</v>
      </c>
      <c r="K2" s="9" cm="1">
        <f t="array" ref="K2">_xll.OPTION.BLACK.PUT(f-0.01, sigma*SQRT(t), k)</f>
        <v>3.9925637719351386</v>
      </c>
      <c r="L2" s="9">
        <f>(J2-K2)/0.02</f>
        <v>-0.48006120412331654</v>
      </c>
      <c r="M2" s="10">
        <f>I2-L2</f>
        <v>9.9616890292253402E-9</v>
      </c>
    </row>
    <row r="3" spans="2:16" x14ac:dyDescent="0.55000000000000004">
      <c r="B3" s="4" t="s">
        <v>16</v>
      </c>
      <c r="C3">
        <v>100</v>
      </c>
      <c r="F3" s="4" t="s">
        <v>28</v>
      </c>
      <c r="G3" s="8" cm="1">
        <f t="array" aca="1" ref="G3" ca="1">_xlfn.TAKE(S_,-1)</f>
        <v>116.47065589180895</v>
      </c>
      <c r="N3" s="7">
        <v>1</v>
      </c>
      <c r="O3" s="7" cm="1">
        <f t="array" ref="O3:O5">ad(N3:N5)</f>
        <v>1</v>
      </c>
      <c r="P3" s="7" cm="1">
        <f t="array" ref="P3:P5">_xlfn.SCAN(0,_xlfn.ANCHORARRAY(O3),_xlfn.LAMBDA(_xlpm.a,_xlpm.b,_xlpm.a+_xlpm.b))</f>
        <v>1</v>
      </c>
    </row>
    <row r="4" spans="2:16" x14ac:dyDescent="0.55000000000000004">
      <c r="B4" s="4" t="s">
        <v>14</v>
      </c>
      <c r="C4">
        <v>0.2</v>
      </c>
      <c r="F4" s="4" t="s">
        <v>24</v>
      </c>
      <c r="G4" s="11">
        <f ca="1">MAX(k - last,0)</f>
        <v>0</v>
      </c>
      <c r="H4" s="11">
        <f t="array" aca="1" ref="H4:I4" ca="1">_xll.MONTE.STDEV(G4)</f>
        <v>3.9575119032771537</v>
      </c>
      <c r="I4" s="11">
        <f ca="1"/>
        <v>5.4631643688741045</v>
      </c>
      <c r="M4">
        <v>1E-3</v>
      </c>
      <c r="N4" s="7">
        <v>2</v>
      </c>
      <c r="O4" s="7">
        <v>1</v>
      </c>
      <c r="P4" s="7">
        <v>2</v>
      </c>
    </row>
    <row r="5" spans="2:16" x14ac:dyDescent="0.55000000000000004">
      <c r="B5" s="4" t="s">
        <v>1</v>
      </c>
      <c r="C5">
        <v>0.25</v>
      </c>
      <c r="F5" s="4" t="s">
        <v>25</v>
      </c>
      <c r="G5" s="11" cm="1">
        <f t="array" aca="1" ref="G5" ca="1">_xlfn.TAKE(A,-1)</f>
        <v>0.11312702946808689</v>
      </c>
      <c r="H5" s="11"/>
      <c r="I5" s="11"/>
      <c r="M5">
        <v>0.01</v>
      </c>
      <c r="N5" s="7">
        <v>3</v>
      </c>
      <c r="O5" s="7">
        <v>1</v>
      </c>
      <c r="P5" s="7">
        <v>3</v>
      </c>
    </row>
    <row r="6" spans="2:16" x14ac:dyDescent="0.55000000000000004">
      <c r="B6" s="4" t="s">
        <v>21</v>
      </c>
      <c r="C6">
        <f>1/250</f>
        <v>4.0000000000000001E-3</v>
      </c>
      <c r="F6" s="4" t="s">
        <v>29</v>
      </c>
      <c r="G6" s="11">
        <f ca="1">payoff-hedge</f>
        <v>-0.11312702946808689</v>
      </c>
      <c r="H6" s="8">
        <f t="array" aca="1" ref="H6:I6" ca="1">_xll.MONTE.STDEV(error)</f>
        <v>-1.7636457908396786E-2</v>
      </c>
      <c r="I6" s="13">
        <f ca="1"/>
        <v>0.43896459953411276</v>
      </c>
      <c r="J6" s="17">
        <f ca="1">I6/put</f>
        <v>0.11007795629598849</v>
      </c>
      <c r="K6" s="16" t="s">
        <v>30</v>
      </c>
      <c r="M6">
        <v>0.1</v>
      </c>
    </row>
    <row r="7" spans="2:16" x14ac:dyDescent="0.55000000000000004">
      <c r="B7" s="4" t="s">
        <v>17</v>
      </c>
      <c r="C7">
        <v>100</v>
      </c>
    </row>
    <row r="8" spans="2:16" x14ac:dyDescent="0.55000000000000004">
      <c r="D8" s="26" t="s">
        <v>0</v>
      </c>
      <c r="E8" s="26"/>
      <c r="F8" s="27" t="s">
        <v>10</v>
      </c>
      <c r="G8" s="27"/>
      <c r="H8" s="27" t="s">
        <v>13</v>
      </c>
      <c r="I8" s="27"/>
      <c r="J8" s="2" t="s">
        <v>11</v>
      </c>
      <c r="K8" s="3" t="s">
        <v>12</v>
      </c>
    </row>
    <row r="9" spans="2:16" x14ac:dyDescent="0.55000000000000004">
      <c r="B9" s="5" t="s">
        <v>22</v>
      </c>
      <c r="C9" s="5" t="s">
        <v>23</v>
      </c>
      <c r="D9" s="5" t="s">
        <v>18</v>
      </c>
      <c r="E9" s="5" t="s">
        <v>19</v>
      </c>
      <c r="F9" s="5" t="s">
        <v>4</v>
      </c>
      <c r="G9" s="5" t="s">
        <v>5</v>
      </c>
      <c r="H9" s="5" t="s">
        <v>26</v>
      </c>
      <c r="I9" s="5" t="s">
        <v>27</v>
      </c>
      <c r="J9" s="5" t="s">
        <v>8</v>
      </c>
      <c r="K9" s="5" t="s">
        <v>9</v>
      </c>
      <c r="L9" s="19" t="s">
        <v>31</v>
      </c>
    </row>
    <row r="10" spans="2:16" x14ac:dyDescent="0.55000000000000004">
      <c r="B10" cm="1">
        <f t="array" ref="B10:B72">_xll.ARRAY.SEQUENCE(0, t, dt)</f>
        <v>0</v>
      </c>
      <c r="C10" cm="1">
        <f t="array" aca="1" ref="C10:C72" ca="1">_xll.RANDOM.BROWNIAN(t_)</f>
        <v>0</v>
      </c>
      <c r="D10" cm="1">
        <f t="array" aca="1" ref="D10:D72" ca="1">1+0*B_</f>
        <v>1</v>
      </c>
      <c r="E10" cm="1">
        <f t="array" aca="1" ref="E10:E72" ca="1">f*EXP(sigma*B_+(mu-sigma*sigma/2)*t_)</f>
        <v>100</v>
      </c>
      <c r="F10" s="11" cm="1">
        <f t="array" aca="1" ref="F10:F72" ca="1">co(put*(t_ = 0) - N*S_/R_)</f>
        <v>51.993880583837246</v>
      </c>
      <c r="G10" s="8" cm="1">
        <f t="array" aca="1" ref="G10:G72" ca="1">co(ad(_N))</f>
        <v>-0.48006119416162751</v>
      </c>
      <c r="H10" s="11" cm="1">
        <f t="array" aca="1" ref="H10:H72" ca="1">_xlfn.SCAN(0,M,_xlfn.LAMBDA(_xlpm.a,_xlpm.b,_xlpm.a+_xlpm.b))</f>
        <v>51.993880583837246</v>
      </c>
      <c r="I10" s="8" cm="1">
        <f t="array" aca="1" ref="I10:I72" ca="1">_xlfn.VSTACK(_xlfn.DROP(_xlfn.MAP(t_,S_,_xlfn.LAMBDA(_xlpm._t,_xlpm._S,_xll.OPTION.BLACK.PUT_DELTA(_xlpm._S,sigma*SQRT(t - _xlpm._t),k))),-1),0)</f>
        <v>-0.48006119416162751</v>
      </c>
      <c r="J10" s="8" cm="1">
        <f t="array" aca="1" ref="J10:J72" ca="1">_M * R_ + _N * S_</f>
        <v>3.987761167674492</v>
      </c>
      <c r="K10" cm="1">
        <f t="array" aca="1" ref="K10:K72" ca="1">-M * R_ - N * S_</f>
        <v>-3.987761167674492</v>
      </c>
      <c r="L10" cm="1">
        <f t="array" aca="1" ref="L10:L72" ca="1">_xlfn.MAP(S_,_xlfn.LAMBDA(_xlpm.s,MAX(k-_xlpm.s,0)))</f>
        <v>0</v>
      </c>
      <c r="M10" s="22">
        <f ca="1">put - G10*E10</f>
        <v>51.993880583837246</v>
      </c>
      <c r="N10" s="22">
        <f ca="1">F10-M10</f>
        <v>0</v>
      </c>
    </row>
    <row r="11" spans="2:16" x14ac:dyDescent="0.55000000000000004">
      <c r="B11">
        <v>4.0000000000000001E-3</v>
      </c>
      <c r="C11">
        <f ca="1"/>
        <v>5.2089576551553746E-2</v>
      </c>
      <c r="D11">
        <f ca="1"/>
        <v>1</v>
      </c>
      <c r="E11" s="12">
        <f ca="1"/>
        <v>101.03915361734803</v>
      </c>
      <c r="F11" s="11">
        <f ca="1"/>
        <v>-4.161120311822768</v>
      </c>
      <c r="G11" s="8">
        <f ca="1"/>
        <v>4.1183245928421153E-2</v>
      </c>
      <c r="H11" s="11">
        <f ca="1"/>
        <v>47.832760272014475</v>
      </c>
      <c r="I11" s="8">
        <f ca="1"/>
        <v>-0.43887794823320636</v>
      </c>
      <c r="J11" s="8">
        <f ca="1"/>
        <v>3.4889038412130162</v>
      </c>
      <c r="K11">
        <f ca="1"/>
        <v>0</v>
      </c>
      <c r="L11">
        <f ca="1"/>
        <v>0</v>
      </c>
      <c r="M11" s="22">
        <f ca="1" xml:space="preserve"> - G11*E11</f>
        <v>-4.161120311822768</v>
      </c>
      <c r="N11" s="22">
        <f ca="1">F11-M11</f>
        <v>0</v>
      </c>
    </row>
    <row r="12" spans="2:16" x14ac:dyDescent="0.55000000000000004">
      <c r="B12">
        <v>8.0000000000000002E-3</v>
      </c>
      <c r="C12">
        <f ca="1"/>
        <v>3.2817260497733744E-2</v>
      </c>
      <c r="D12">
        <f ca="1"/>
        <v>1</v>
      </c>
      <c r="E12" s="12">
        <f ca="1"/>
        <v>100.64239980304919</v>
      </c>
      <c r="F12" s="11">
        <f ca="1"/>
        <v>1.5731241331668075</v>
      </c>
      <c r="G12" s="8">
        <f ca="1"/>
        <v>-1.5630828917487183E-2</v>
      </c>
      <c r="H12" s="11">
        <f ca="1"/>
        <v>49.405884405181283</v>
      </c>
      <c r="I12" s="8">
        <f ca="1"/>
        <v>-0.45450877715069354</v>
      </c>
      <c r="J12" s="8">
        <f ca="1"/>
        <v>3.6630303411861931</v>
      </c>
      <c r="K12">
        <f ca="1"/>
        <v>0</v>
      </c>
      <c r="L12">
        <f ca="1"/>
        <v>0</v>
      </c>
    </row>
    <row r="13" spans="2:16" x14ac:dyDescent="0.55000000000000004">
      <c r="B13">
        <v>1.2E-2</v>
      </c>
      <c r="C13">
        <f ca="1"/>
        <v>-3.1951730483285035E-3</v>
      </c>
      <c r="D13">
        <f ca="1"/>
        <v>1</v>
      </c>
      <c r="E13" s="12">
        <f ca="1"/>
        <v>99.91213516280763</v>
      </c>
      <c r="F13" s="11">
        <f ca="1"/>
        <v>2.9601039339310016</v>
      </c>
      <c r="G13" s="8">
        <f ca="1"/>
        <v>-2.9627071117111936E-2</v>
      </c>
      <c r="H13" s="11">
        <f ca="1"/>
        <v>52.365988339112285</v>
      </c>
      <c r="I13" s="8">
        <f ca="1"/>
        <v>-0.48413584826780548</v>
      </c>
      <c r="J13" s="8">
        <f ca="1"/>
        <v>3.9949420298187803</v>
      </c>
      <c r="K13">
        <f ca="1"/>
        <v>0</v>
      </c>
      <c r="L13">
        <f ca="1"/>
        <v>8.786483719237026E-2</v>
      </c>
    </row>
    <row r="14" spans="2:16" x14ac:dyDescent="0.55000000000000004">
      <c r="B14">
        <v>1.6E-2</v>
      </c>
      <c r="C14">
        <f ca="1"/>
        <v>0.10787987527032183</v>
      </c>
      <c r="D14">
        <f ca="1"/>
        <v>1</v>
      </c>
      <c r="E14" s="12">
        <f ca="1"/>
        <v>102.14834924671462</v>
      </c>
      <c r="F14" s="11">
        <f ca="1"/>
        <v>-9.1746618902069201</v>
      </c>
      <c r="G14" s="8">
        <f ca="1"/>
        <v>8.9817035300763848E-2</v>
      </c>
      <c r="H14" s="11">
        <f ca="1"/>
        <v>43.191326448905365</v>
      </c>
      <c r="I14" s="8">
        <f ca="1"/>
        <v>-0.39431881296704163</v>
      </c>
      <c r="J14" s="8">
        <f ca="1"/>
        <v>2.9123106273980568</v>
      </c>
      <c r="K14">
        <f ca="1"/>
        <v>0</v>
      </c>
      <c r="L14">
        <f ca="1"/>
        <v>0</v>
      </c>
      <c r="M14" s="22">
        <f ca="1">f*EXP(sigma*C14-sigma^2*B14/2)</f>
        <v>102.14834924671462</v>
      </c>
      <c r="N14" s="23">
        <f ca="1">E14-M14</f>
        <v>0</v>
      </c>
    </row>
    <row r="15" spans="2:16" x14ac:dyDescent="0.55000000000000004">
      <c r="B15">
        <v>0.02</v>
      </c>
      <c r="C15">
        <f ca="1"/>
        <v>0.10648555722598418</v>
      </c>
      <c r="D15">
        <f ca="1"/>
        <v>1</v>
      </c>
      <c r="E15" s="12">
        <f ca="1"/>
        <v>102.11169849816734</v>
      </c>
      <c r="F15" s="11">
        <f ca="1"/>
        <v>8.8621475463247126E-2</v>
      </c>
      <c r="G15" s="8">
        <f ca="1"/>
        <v>-8.6788758552319711E-4</v>
      </c>
      <c r="H15" s="11">
        <f ca="1"/>
        <v>43.279947924368614</v>
      </c>
      <c r="I15" s="8">
        <f ca="1"/>
        <v>-0.39518670055256483</v>
      </c>
      <c r="J15" s="8">
        <f ca="1"/>
        <v>2.9267627070595736</v>
      </c>
      <c r="K15">
        <f ca="1"/>
        <v>0</v>
      </c>
      <c r="L15">
        <f ca="1"/>
        <v>0</v>
      </c>
    </row>
    <row r="16" spans="2:16" x14ac:dyDescent="0.55000000000000004">
      <c r="B16">
        <v>2.4E-2</v>
      </c>
      <c r="C16">
        <f ca="1"/>
        <v>0.11091546145198063</v>
      </c>
      <c r="D16">
        <f ca="1"/>
        <v>1</v>
      </c>
      <c r="E16" s="12">
        <f ca="1"/>
        <v>102.19403174628108</v>
      </c>
      <c r="F16" s="11">
        <f ca="1"/>
        <v>-0.39213711580116739</v>
      </c>
      <c r="G16" s="8">
        <f ca="1"/>
        <v>3.8371821631886793E-3</v>
      </c>
      <c r="H16" s="11">
        <f ca="1"/>
        <v>42.887810808567444</v>
      </c>
      <c r="I16" s="8">
        <f ca="1"/>
        <v>-0.39134951838937615</v>
      </c>
      <c r="J16" s="8">
        <f ca="1"/>
        <v>2.8942257023917222</v>
      </c>
      <c r="K16">
        <f ca="1"/>
        <v>0</v>
      </c>
      <c r="L16">
        <f ca="1"/>
        <v>0</v>
      </c>
      <c r="M16" s="22" cm="1">
        <f t="array" aca="1" ref="M16" ca="1">_xll.OPTION.BLACK.PUT_DELTA(E16,sigma*SQRT(t - B16),k)</f>
        <v>-0.39134951838937615</v>
      </c>
      <c r="N16" s="23">
        <f ca="1">I16-M16</f>
        <v>0</v>
      </c>
    </row>
    <row r="17" spans="2:16" x14ac:dyDescent="0.55000000000000004">
      <c r="B17">
        <v>2.8000000000000001E-2</v>
      </c>
      <c r="C17">
        <f ca="1"/>
        <v>0.17072663836317631</v>
      </c>
      <c r="D17">
        <f ca="1"/>
        <v>1</v>
      </c>
      <c r="E17" s="12">
        <f ca="1"/>
        <v>103.41556820591317</v>
      </c>
      <c r="F17" s="11">
        <f ca="1"/>
        <v>-4.9708906310723471</v>
      </c>
      <c r="G17" s="8">
        <f ca="1"/>
        <v>4.8067140347521853E-2</v>
      </c>
      <c r="H17" s="11">
        <f ca="1"/>
        <v>37.916920177495101</v>
      </c>
      <c r="I17" s="8">
        <f ca="1"/>
        <v>-0.3432823780418543</v>
      </c>
      <c r="J17" s="8">
        <f ca="1"/>
        <v>2.4161779972196484</v>
      </c>
      <c r="K17">
        <f ca="1"/>
        <v>0</v>
      </c>
      <c r="L17">
        <f ca="1"/>
        <v>0</v>
      </c>
    </row>
    <row r="18" spans="2:16" x14ac:dyDescent="0.55000000000000004">
      <c r="B18">
        <v>3.2000000000000001E-2</v>
      </c>
      <c r="C18">
        <f ca="1"/>
        <v>0.19605995490899578</v>
      </c>
      <c r="D18">
        <f ca="1"/>
        <v>1</v>
      </c>
      <c r="E18" s="12">
        <f ca="1"/>
        <v>103.93255477313818</v>
      </c>
      <c r="F18" s="11">
        <f ca="1"/>
        <v>-2.1238553837957435</v>
      </c>
      <c r="G18" s="8">
        <f ca="1"/>
        <v>2.0434938681452131E-2</v>
      </c>
      <c r="H18" s="11">
        <f ca="1"/>
        <v>35.793064793699358</v>
      </c>
      <c r="I18" s="8">
        <f ca="1"/>
        <v>-0.32284743936040217</v>
      </c>
      <c r="J18" s="8">
        <f ca="1"/>
        <v>2.2387056190069501</v>
      </c>
      <c r="K18">
        <f ca="1"/>
        <v>0</v>
      </c>
      <c r="L18">
        <f ca="1"/>
        <v>0</v>
      </c>
    </row>
    <row r="19" spans="2:16" x14ac:dyDescent="0.55000000000000004">
      <c r="B19">
        <v>3.6000000000000004E-2</v>
      </c>
      <c r="C19">
        <f ca="1"/>
        <v>0.19112609286611534</v>
      </c>
      <c r="D19">
        <f ca="1"/>
        <v>1</v>
      </c>
      <c r="E19" s="12">
        <f ca="1"/>
        <v>103.82174150812899</v>
      </c>
      <c r="F19" s="11">
        <f ca="1"/>
        <v>0.30307734383000989</v>
      </c>
      <c r="G19" s="8">
        <f ca="1"/>
        <v>-2.9192088230024504E-3</v>
      </c>
      <c r="H19" s="11">
        <f ca="1"/>
        <v>36.09614213752937</v>
      </c>
      <c r="I19" s="8">
        <f ca="1"/>
        <v>-0.32576664818340462</v>
      </c>
      <c r="J19" s="8">
        <f ca="1"/>
        <v>2.2744813978623384</v>
      </c>
      <c r="K19">
        <f ca="1"/>
        <v>0</v>
      </c>
      <c r="L19">
        <f ca="1"/>
        <v>0</v>
      </c>
    </row>
    <row r="20" spans="2:16" x14ac:dyDescent="0.55000000000000004">
      <c r="B20">
        <v>0.04</v>
      </c>
      <c r="C20">
        <f ca="1"/>
        <v>0.24587537237107607</v>
      </c>
      <c r="D20">
        <f ca="1"/>
        <v>1</v>
      </c>
      <c r="E20" s="12">
        <f ca="1"/>
        <v>104.95642462647217</v>
      </c>
      <c r="F20" s="11">
        <f ca="1"/>
        <v>-4.4775773729180113</v>
      </c>
      <c r="G20" s="8">
        <f ca="1"/>
        <v>4.2661298618480892E-2</v>
      </c>
      <c r="H20" s="11">
        <f ca="1"/>
        <v>31.618564764611357</v>
      </c>
      <c r="I20" s="8">
        <f ca="1"/>
        <v>-0.28310534956492373</v>
      </c>
      <c r="J20" s="8">
        <f ca="1"/>
        <v>1.9048394816493825</v>
      </c>
      <c r="K20">
        <f ca="1"/>
        <v>0</v>
      </c>
      <c r="L20">
        <f ca="1"/>
        <v>0</v>
      </c>
      <c r="M20" s="7">
        <f t="array" aca="1" ref="M20:M21" ca="1">_xll.MONTE.STDEV(C20)</f>
        <v>-5.8297060940817164E-4</v>
      </c>
      <c r="N20" s="7">
        <v>0</v>
      </c>
      <c r="O20" s="7">
        <f t="array" aca="1" ref="O20:O21" ca="1">_xll.MONTE.STDEV(E20)</f>
        <v>99.988056302569603</v>
      </c>
      <c r="P20" s="7">
        <f>f*EXP(mu*B20)</f>
        <v>100</v>
      </c>
    </row>
    <row r="21" spans="2:16" x14ac:dyDescent="0.55000000000000004">
      <c r="B21">
        <v>4.3999999999999997E-2</v>
      </c>
      <c r="C21">
        <f ca="1"/>
        <v>0.25487440997103938</v>
      </c>
      <c r="D21">
        <f ca="1"/>
        <v>1</v>
      </c>
      <c r="E21" s="12">
        <f ca="1"/>
        <v>105.13708478063337</v>
      </c>
      <c r="F21" s="11">
        <f ca="1"/>
        <v>-0.83421401527543815</v>
      </c>
      <c r="G21" s="8">
        <f ca="1"/>
        <v>7.9345362962651156E-3</v>
      </c>
      <c r="H21" s="11">
        <f ca="1"/>
        <v>30.784350749335918</v>
      </c>
      <c r="I21" s="8">
        <f ca="1"/>
        <v>-0.27517081326865861</v>
      </c>
      <c r="J21" s="8">
        <f ca="1"/>
        <v>1.8536936255531238</v>
      </c>
      <c r="K21">
        <f ca="1"/>
        <v>0</v>
      </c>
      <c r="L21">
        <f ca="1"/>
        <v>0</v>
      </c>
      <c r="M21" s="7">
        <f ca="1"/>
        <v>0.19962321993442431</v>
      </c>
      <c r="N21" s="7">
        <f>SQRT(B20)</f>
        <v>0.2</v>
      </c>
      <c r="O21" s="7">
        <f ca="1"/>
        <v>3.9949920098784206</v>
      </c>
      <c r="P21" s="7"/>
    </row>
    <row r="22" spans="2:16" x14ac:dyDescent="0.55000000000000004">
      <c r="B22">
        <v>4.8000000000000001E-2</v>
      </c>
      <c r="C22">
        <f ca="1"/>
        <v>0.27630031710585445</v>
      </c>
      <c r="D22">
        <f ca="1"/>
        <v>1</v>
      </c>
      <c r="E22" s="12">
        <f ca="1"/>
        <v>105.58013619974402</v>
      </c>
      <c r="F22" s="11">
        <f ca="1"/>
        <v>-1.7958762602872083</v>
      </c>
      <c r="G22" s="8">
        <f ca="1"/>
        <v>1.7009603557336217E-2</v>
      </c>
      <c r="H22" s="11">
        <f ca="1"/>
        <v>28.988474489048709</v>
      </c>
      <c r="I22" s="8">
        <f ca="1"/>
        <v>-0.25816120971132239</v>
      </c>
      <c r="J22" s="8">
        <f ca="1"/>
        <v>1.731778806236612</v>
      </c>
      <c r="K22">
        <f ca="1"/>
        <v>0</v>
      </c>
      <c r="L22">
        <f ca="1"/>
        <v>0</v>
      </c>
    </row>
    <row r="23" spans="2:16" x14ac:dyDescent="0.55000000000000004">
      <c r="B23">
        <v>5.2000000000000005E-2</v>
      </c>
      <c r="C23">
        <f ca="1"/>
        <v>0.31132305629372864</v>
      </c>
      <c r="D23">
        <f ca="1"/>
        <v>1</v>
      </c>
      <c r="E23" s="12">
        <f ca="1"/>
        <v>106.31376800639785</v>
      </c>
      <c r="F23" s="11">
        <f ca="1"/>
        <v>-2.7871805271438932</v>
      </c>
      <c r="G23" s="8">
        <f ca="1"/>
        <v>2.62165529395606E-2</v>
      </c>
      <c r="H23" s="11">
        <f ca="1"/>
        <v>26.201293961904817</v>
      </c>
      <c r="I23" s="8">
        <f ca="1"/>
        <v>-0.23194465677176179</v>
      </c>
      <c r="J23" s="8">
        <f ca="1"/>
        <v>1.5423835315481575</v>
      </c>
      <c r="K23">
        <f ca="1"/>
        <v>0</v>
      </c>
      <c r="L23">
        <f ca="1"/>
        <v>0</v>
      </c>
    </row>
    <row r="24" spans="2:16" x14ac:dyDescent="0.55000000000000004">
      <c r="B24">
        <v>5.6000000000000001E-2</v>
      </c>
      <c r="C24">
        <f ca="1"/>
        <v>0.37324050506127127</v>
      </c>
      <c r="D24">
        <f ca="1"/>
        <v>1</v>
      </c>
      <c r="E24" s="12">
        <f ca="1"/>
        <v>107.62987813321804</v>
      </c>
      <c r="F24" s="11">
        <f ca="1"/>
        <v>-4.5388452750166</v>
      </c>
      <c r="G24" s="8">
        <f ca="1"/>
        <v>4.217086699102901E-2</v>
      </c>
      <c r="H24" s="11">
        <f ca="1"/>
        <v>21.662448686888219</v>
      </c>
      <c r="I24" s="8">
        <f ca="1"/>
        <v>-0.18977378978073278</v>
      </c>
      <c r="J24" s="8">
        <f ca="1"/>
        <v>1.2371188199090106</v>
      </c>
      <c r="K24">
        <f ca="1"/>
        <v>0</v>
      </c>
      <c r="L24">
        <f ca="1"/>
        <v>0</v>
      </c>
    </row>
    <row r="25" spans="2:16" x14ac:dyDescent="0.55000000000000004">
      <c r="B25">
        <v>0.06</v>
      </c>
      <c r="C25">
        <f ca="1"/>
        <v>0.35415252345245807</v>
      </c>
      <c r="D25">
        <f ca="1"/>
        <v>1</v>
      </c>
      <c r="E25" s="12">
        <f ca="1"/>
        <v>107.21119677158634</v>
      </c>
      <c r="F25" s="11">
        <f ca="1"/>
        <v>1.0758271749518642</v>
      </c>
      <c r="G25" s="8">
        <f ca="1"/>
        <v>-1.0034653164481655E-2</v>
      </c>
      <c r="H25" s="11">
        <f ca="1"/>
        <v>22.738275861840084</v>
      </c>
      <c r="I25" s="8">
        <f ca="1"/>
        <v>-0.19980844294521444</v>
      </c>
      <c r="J25" s="8">
        <f ca="1"/>
        <v>1.3165735686164162</v>
      </c>
      <c r="K25">
        <f ca="1"/>
        <v>0</v>
      </c>
      <c r="L25">
        <f ca="1"/>
        <v>0</v>
      </c>
    </row>
    <row r="26" spans="2:16" x14ac:dyDescent="0.55000000000000004">
      <c r="B26">
        <v>6.4000000000000001E-2</v>
      </c>
      <c r="C26">
        <f ca="1"/>
        <v>0.5161568190806769</v>
      </c>
      <c r="D26">
        <f ca="1"/>
        <v>1</v>
      </c>
      <c r="E26" s="12">
        <f ca="1"/>
        <v>110.73296141315183</v>
      </c>
      <c r="F26" s="11">
        <f ca="1"/>
        <v>-9.9149519637231585</v>
      </c>
      <c r="G26" s="8">
        <f ca="1"/>
        <v>8.9539301010200856E-2</v>
      </c>
      <c r="H26" s="11">
        <f ca="1"/>
        <v>12.823323898116925</v>
      </c>
      <c r="I26" s="8">
        <f ca="1"/>
        <v>-0.11026914193501358</v>
      </c>
      <c r="J26" s="8">
        <f ca="1"/>
        <v>0.61289525916570398</v>
      </c>
      <c r="K26">
        <f ca="1"/>
        <v>0</v>
      </c>
      <c r="L26">
        <f ca="1"/>
        <v>0</v>
      </c>
    </row>
    <row r="27" spans="2:16" x14ac:dyDescent="0.55000000000000004">
      <c r="B27">
        <v>6.8000000000000005E-2</v>
      </c>
      <c r="C27">
        <f ca="1"/>
        <v>0.51734446621196939</v>
      </c>
      <c r="D27">
        <f ca="1"/>
        <v>1</v>
      </c>
      <c r="E27" s="12">
        <f ca="1"/>
        <v>110.75040648705132</v>
      </c>
      <c r="F27" s="11">
        <f ca="1"/>
        <v>-0.29567344103734838</v>
      </c>
      <c r="G27" s="8">
        <f ca="1"/>
        <v>2.6697278178560713E-3</v>
      </c>
      <c r="H27" s="11">
        <f ca="1"/>
        <v>12.527650457079577</v>
      </c>
      <c r="I27" s="8">
        <f ca="1"/>
        <v>-0.10759941411715751</v>
      </c>
      <c r="J27" s="8">
        <f ca="1"/>
        <v>0.61097160583581456</v>
      </c>
      <c r="K27">
        <f ca="1"/>
        <v>0</v>
      </c>
      <c r="L27">
        <f ca="1"/>
        <v>0</v>
      </c>
    </row>
    <row r="28" spans="2:16" x14ac:dyDescent="0.55000000000000004">
      <c r="B28">
        <v>7.2000000000000008E-2</v>
      </c>
      <c r="C28">
        <f ca="1"/>
        <v>0.47751968217527263</v>
      </c>
      <c r="D28">
        <f ca="1"/>
        <v>1</v>
      </c>
      <c r="E28" s="12">
        <f ca="1"/>
        <v>109.86299861564535</v>
      </c>
      <c r="F28" s="11">
        <f ca="1"/>
        <v>1.7628660479776626</v>
      </c>
      <c r="G28" s="8">
        <f ca="1"/>
        <v>-1.6046039796756617E-2</v>
      </c>
      <c r="H28" s="11">
        <f ca="1"/>
        <v>14.290516505057241</v>
      </c>
      <c r="I28" s="8">
        <f ca="1"/>
        <v>-0.12364545391391413</v>
      </c>
      <c r="J28" s="8">
        <f ca="1"/>
        <v>0.70645617288205109</v>
      </c>
      <c r="K28">
        <f ca="1"/>
        <v>0</v>
      </c>
      <c r="L28">
        <f ca="1"/>
        <v>0</v>
      </c>
    </row>
    <row r="29" spans="2:16" x14ac:dyDescent="0.55000000000000004">
      <c r="B29">
        <v>7.5999999999999998E-2</v>
      </c>
      <c r="C29">
        <f ca="1"/>
        <v>0.48211368867873877</v>
      </c>
      <c r="D29">
        <f ca="1"/>
        <v>1</v>
      </c>
      <c r="E29" s="12">
        <f ca="1"/>
        <v>109.95519050171376</v>
      </c>
      <c r="F29" s="11">
        <f ca="1"/>
        <v>-0.49487228685459755</v>
      </c>
      <c r="G29" s="8">
        <f ca="1"/>
        <v>4.500672361136826E-3</v>
      </c>
      <c r="H29" s="11">
        <f ca="1"/>
        <v>13.795644218202643</v>
      </c>
      <c r="I29" s="8">
        <f ca="1"/>
        <v>-0.1191447815527773</v>
      </c>
      <c r="J29" s="8">
        <f ca="1"/>
        <v>0.69505706528194366</v>
      </c>
      <c r="K29">
        <f ca="1"/>
        <v>0</v>
      </c>
      <c r="L29">
        <f ca="1"/>
        <v>0</v>
      </c>
    </row>
    <row r="30" spans="2:16" x14ac:dyDescent="0.55000000000000004">
      <c r="B30">
        <v>0.08</v>
      </c>
      <c r="C30">
        <f ca="1"/>
        <v>0.48740210154083191</v>
      </c>
      <c r="D30">
        <f ca="1"/>
        <v>1</v>
      </c>
      <c r="E30" s="12">
        <f ca="1"/>
        <v>110.06274434340533</v>
      </c>
      <c r="F30" s="11">
        <f ca="1"/>
        <v>-0.53278118091768634</v>
      </c>
      <c r="G30" s="8">
        <f ca="1"/>
        <v>4.8407041283230479E-3</v>
      </c>
      <c r="H30" s="11">
        <f ca="1"/>
        <v>13.262863037284957</v>
      </c>
      <c r="I30" s="8">
        <f ca="1"/>
        <v>-0.11430407742445425</v>
      </c>
      <c r="J30" s="8">
        <f ca="1"/>
        <v>0.68224258630844048</v>
      </c>
      <c r="K30">
        <f ca="1"/>
        <v>0</v>
      </c>
      <c r="L30">
        <f ca="1"/>
        <v>0</v>
      </c>
    </row>
    <row r="31" spans="2:16" x14ac:dyDescent="0.55000000000000004">
      <c r="B31">
        <v>8.4000000000000005E-2</v>
      </c>
      <c r="C31">
        <f ca="1"/>
        <v>0.45905365800037878</v>
      </c>
      <c r="D31">
        <f ca="1"/>
        <v>1</v>
      </c>
      <c r="E31" s="12">
        <f ca="1"/>
        <v>109.43173362106187</v>
      </c>
      <c r="F31" s="11">
        <f ca="1"/>
        <v>1.2499372930557888</v>
      </c>
      <c r="G31" s="8">
        <f ca="1"/>
        <v>-1.142207339403073E-2</v>
      </c>
      <c r="H31" s="11">
        <f ca="1"/>
        <v>14.512800330340745</v>
      </c>
      <c r="I31" s="8">
        <f ca="1"/>
        <v>-0.12572615081848498</v>
      </c>
      <c r="J31" s="8">
        <f ca="1"/>
        <v>0.75436968477084676</v>
      </c>
      <c r="K31">
        <f ca="1"/>
        <v>0</v>
      </c>
      <c r="L31">
        <f ca="1"/>
        <v>0</v>
      </c>
    </row>
    <row r="32" spans="2:16" x14ac:dyDescent="0.55000000000000004">
      <c r="B32">
        <v>8.7999999999999995E-2</v>
      </c>
      <c r="C32">
        <f ca="1"/>
        <v>0.42893998765311886</v>
      </c>
      <c r="D32">
        <f ca="1"/>
        <v>1</v>
      </c>
      <c r="E32" s="12">
        <f ca="1"/>
        <v>108.76593451583672</v>
      </c>
      <c r="F32" s="11">
        <f ca="1"/>
        <v>1.4612808709059746</v>
      </c>
      <c r="G32" s="8">
        <f ca="1"/>
        <v>-1.3435096911645683E-2</v>
      </c>
      <c r="H32" s="11">
        <f ca="1"/>
        <v>15.974081201246721</v>
      </c>
      <c r="I32" s="8">
        <f ca="1"/>
        <v>-0.13916124773013067</v>
      </c>
      <c r="J32" s="8">
        <f ca="1"/>
        <v>0.83807804348919746</v>
      </c>
      <c r="K32">
        <f ca="1"/>
        <v>0</v>
      </c>
      <c r="L32">
        <f ca="1"/>
        <v>0</v>
      </c>
    </row>
    <row r="33" spans="2:12" x14ac:dyDescent="0.55000000000000004">
      <c r="B33">
        <v>9.1999999999999998E-2</v>
      </c>
      <c r="C33">
        <f ca="1"/>
        <v>0.54688048000656653</v>
      </c>
      <c r="D33">
        <f ca="1"/>
        <v>1</v>
      </c>
      <c r="E33" s="12">
        <f ca="1"/>
        <v>111.35310540395122</v>
      </c>
      <c r="F33" s="11">
        <f ca="1"/>
        <v>-6.3766719041497986</v>
      </c>
      <c r="G33" s="8">
        <f ca="1"/>
        <v>5.7265326198289668E-2</v>
      </c>
      <c r="H33" s="11">
        <f ca="1"/>
        <v>9.597409297096922</v>
      </c>
      <c r="I33" s="8">
        <f ca="1"/>
        <v>-8.1895921531840998E-2</v>
      </c>
      <c r="J33" s="8">
        <f ca="1"/>
        <v>0.4780441146081138</v>
      </c>
      <c r="K33">
        <f ca="1"/>
        <v>0</v>
      </c>
      <c r="L33">
        <f ca="1"/>
        <v>0</v>
      </c>
    </row>
    <row r="34" spans="2:12" x14ac:dyDescent="0.55000000000000004">
      <c r="B34">
        <v>9.6000000000000002E-2</v>
      </c>
      <c r="C34">
        <f ca="1"/>
        <v>0.57718958712773238</v>
      </c>
      <c r="D34">
        <f ca="1"/>
        <v>1</v>
      </c>
      <c r="E34" s="12">
        <f ca="1"/>
        <v>112.02119600269585</v>
      </c>
      <c r="F34" s="11">
        <f ca="1"/>
        <v>-1.4789918921959246</v>
      </c>
      <c r="G34" s="8">
        <f ca="1"/>
        <v>1.3202786124157539E-2</v>
      </c>
      <c r="H34" s="11">
        <f ca="1"/>
        <v>8.1184174049009972</v>
      </c>
      <c r="I34" s="8">
        <f ca="1"/>
        <v>-6.8693135407683459E-2</v>
      </c>
      <c r="J34" s="8">
        <f ca="1"/>
        <v>0.42333021935716264</v>
      </c>
      <c r="K34">
        <f ca="1"/>
        <v>0</v>
      </c>
      <c r="L34">
        <f ca="1"/>
        <v>0</v>
      </c>
    </row>
    <row r="35" spans="2:12" x14ac:dyDescent="0.55000000000000004">
      <c r="B35">
        <v>0.1</v>
      </c>
      <c r="C35">
        <f ca="1"/>
        <v>0.49128049548836805</v>
      </c>
      <c r="D35">
        <f ca="1"/>
        <v>1</v>
      </c>
      <c r="E35" s="12">
        <f ca="1"/>
        <v>110.10410034977092</v>
      </c>
      <c r="F35" s="11">
        <f ca="1"/>
        <v>3.4501223319933474</v>
      </c>
      <c r="G35" s="8">
        <f ca="1"/>
        <v>-3.1335093979545203E-2</v>
      </c>
      <c r="H35" s="11">
        <f ca="1"/>
        <v>11.568539736894344</v>
      </c>
      <c r="I35" s="8">
        <f ca="1"/>
        <v>-0.10002822938722866</v>
      </c>
      <c r="J35" s="8">
        <f ca="1"/>
        <v>0.55502153063301485</v>
      </c>
      <c r="K35">
        <f ca="1"/>
        <v>0</v>
      </c>
      <c r="L35">
        <f ca="1"/>
        <v>0</v>
      </c>
    </row>
    <row r="36" spans="2:12" x14ac:dyDescent="0.55000000000000004">
      <c r="B36">
        <v>0.10400000000000001</v>
      </c>
      <c r="C36">
        <f ca="1"/>
        <v>0.53969718813836931</v>
      </c>
      <c r="D36">
        <f ca="1"/>
        <v>1</v>
      </c>
      <c r="E36" s="12">
        <f ca="1"/>
        <v>111.16656071690167</v>
      </c>
      <c r="F36" s="11">
        <f ca="1"/>
        <v>-2.5262030262567543</v>
      </c>
      <c r="G36" s="8">
        <f ca="1"/>
        <v>2.272448666186605E-2</v>
      </c>
      <c r="H36" s="11">
        <f ca="1"/>
        <v>9.0423367106375903</v>
      </c>
      <c r="I36" s="8">
        <f ca="1"/>
        <v>-7.7303742725362612E-2</v>
      </c>
      <c r="J36" s="8">
        <f ca="1"/>
        <v>0.44874550131482138</v>
      </c>
      <c r="K36">
        <f ca="1"/>
        <v>0</v>
      </c>
      <c r="L36">
        <f ca="1"/>
        <v>0</v>
      </c>
    </row>
    <row r="37" spans="2:12" x14ac:dyDescent="0.55000000000000004">
      <c r="B37">
        <v>0.108</v>
      </c>
      <c r="C37">
        <f ca="1"/>
        <v>0.46490717595721726</v>
      </c>
      <c r="D37">
        <f ca="1"/>
        <v>1</v>
      </c>
      <c r="E37" s="12">
        <f ca="1"/>
        <v>109.50734462187243</v>
      </c>
      <c r="F37" s="11">
        <f ca="1"/>
        <v>3.2496009615538708</v>
      </c>
      <c r="G37" s="8">
        <f ca="1"/>
        <v>-2.9674730702079433E-2</v>
      </c>
      <c r="H37" s="11">
        <f ca="1"/>
        <v>12.291937672191461</v>
      </c>
      <c r="I37" s="8">
        <f ca="1"/>
        <v>-0.10697847342744204</v>
      </c>
      <c r="J37" s="8">
        <f ca="1"/>
        <v>0.57700911545074263</v>
      </c>
      <c r="K37">
        <f ca="1"/>
        <v>0</v>
      </c>
      <c r="L37">
        <f ca="1"/>
        <v>0</v>
      </c>
    </row>
    <row r="38" spans="2:12" x14ac:dyDescent="0.55000000000000004">
      <c r="B38">
        <v>0.112</v>
      </c>
      <c r="C38">
        <f ca="1"/>
        <v>0.46229450136284828</v>
      </c>
      <c r="D38">
        <f ca="1"/>
        <v>1</v>
      </c>
      <c r="E38" s="12">
        <f ca="1"/>
        <v>109.44138249710198</v>
      </c>
      <c r="F38" s="11">
        <f ca="1"/>
        <v>-0.17445146708638673</v>
      </c>
      <c r="G38" s="8">
        <f ca="1"/>
        <v>1.5940173918307932E-3</v>
      </c>
      <c r="H38" s="11">
        <f ca="1"/>
        <v>12.117486205105074</v>
      </c>
      <c r="I38" s="8">
        <f ca="1"/>
        <v>-0.10538445603561125</v>
      </c>
      <c r="J38" s="8">
        <f ca="1"/>
        <v>0.5840656428627149</v>
      </c>
      <c r="K38">
        <f ca="1"/>
        <v>0</v>
      </c>
      <c r="L38">
        <f ca="1"/>
        <v>0</v>
      </c>
    </row>
    <row r="39" spans="2:12" x14ac:dyDescent="0.55000000000000004">
      <c r="B39">
        <v>0.11600000000000001</v>
      </c>
      <c r="C39">
        <f ca="1"/>
        <v>0.4331895013841775</v>
      </c>
      <c r="D39">
        <f ca="1"/>
        <v>1</v>
      </c>
      <c r="E39" s="12">
        <f ca="1"/>
        <v>108.79747062992932</v>
      </c>
      <c r="F39" s="11">
        <f ca="1"/>
        <v>1.3026334801592949</v>
      </c>
      <c r="G39" s="8">
        <f ca="1"/>
        <v>-1.1973012539879313E-2</v>
      </c>
      <c r="H39" s="11">
        <f ca="1"/>
        <v>13.420119685264369</v>
      </c>
      <c r="I39" s="8">
        <f ca="1"/>
        <v>-0.11735746857549056</v>
      </c>
      <c r="J39" s="8">
        <f ca="1"/>
        <v>0.65192394471958082</v>
      </c>
      <c r="K39">
        <f ca="1"/>
        <v>0</v>
      </c>
      <c r="L39">
        <f ca="1"/>
        <v>0</v>
      </c>
    </row>
    <row r="40" spans="2:12" x14ac:dyDescent="0.55000000000000004">
      <c r="B40">
        <v>0.12</v>
      </c>
      <c r="C40">
        <f ca="1"/>
        <v>0.5251928318102389</v>
      </c>
      <c r="D40">
        <f ca="1"/>
        <v>1</v>
      </c>
      <c r="E40" s="12">
        <f ca="1"/>
        <v>110.80908353881496</v>
      </c>
      <c r="F40" s="11">
        <f ca="1"/>
        <v>-5.0007520568483947</v>
      </c>
      <c r="G40" s="8">
        <f ca="1"/>
        <v>4.5129441532622161E-2</v>
      </c>
      <c r="H40" s="11">
        <f ca="1"/>
        <v>8.4193676284159746</v>
      </c>
      <c r="I40" s="8">
        <f ca="1"/>
        <v>-7.2228027042868403E-2</v>
      </c>
      <c r="J40" s="8">
        <f ca="1"/>
        <v>0.41584614597898373</v>
      </c>
      <c r="K40">
        <f ca="1"/>
        <v>0</v>
      </c>
      <c r="L40">
        <f ca="1"/>
        <v>0</v>
      </c>
    </row>
    <row r="41" spans="2:12" x14ac:dyDescent="0.55000000000000004">
      <c r="B41">
        <v>0.124</v>
      </c>
      <c r="C41">
        <f ca="1"/>
        <v>0.50681037343756852</v>
      </c>
      <c r="D41">
        <f ca="1"/>
        <v>1</v>
      </c>
      <c r="E41" s="12">
        <f ca="1"/>
        <v>110.39361098719816</v>
      </c>
      <c r="F41" s="11">
        <f ca="1"/>
        <v>0.48230915917569922</v>
      </c>
      <c r="G41" s="8">
        <f ca="1"/>
        <v>-4.3689952241133811E-3</v>
      </c>
      <c r="H41" s="11">
        <f ca="1"/>
        <v>8.9016767875916738</v>
      </c>
      <c r="I41" s="8">
        <f ca="1"/>
        <v>-7.6597022266981785E-2</v>
      </c>
      <c r="J41" s="8">
        <f ca="1"/>
        <v>0.44585490867273059</v>
      </c>
      <c r="K41">
        <f ca="1"/>
        <v>0</v>
      </c>
      <c r="L41">
        <f ca="1"/>
        <v>0</v>
      </c>
    </row>
    <row r="42" spans="2:12" x14ac:dyDescent="0.55000000000000004">
      <c r="B42">
        <v>0.128</v>
      </c>
      <c r="C42">
        <f ca="1"/>
        <v>0.44712508188580213</v>
      </c>
      <c r="D42">
        <f ca="1"/>
        <v>1</v>
      </c>
      <c r="E42" s="12">
        <f ca="1"/>
        <v>109.07494364702428</v>
      </c>
      <c r="F42" s="11">
        <f ca="1"/>
        <v>2.613175431753143</v>
      </c>
      <c r="G42" s="8">
        <f ca="1"/>
        <v>-2.3957614318918186E-2</v>
      </c>
      <c r="H42" s="11">
        <f ca="1"/>
        <v>11.514852219344817</v>
      </c>
      <c r="I42" s="8">
        <f ca="1"/>
        <v>-0.10055463658589997</v>
      </c>
      <c r="J42" s="8">
        <f ca="1"/>
        <v>0.54686090029077228</v>
      </c>
      <c r="K42">
        <f ca="1"/>
        <v>0</v>
      </c>
      <c r="L42">
        <f ca="1"/>
        <v>0</v>
      </c>
    </row>
    <row r="43" spans="2:12" x14ac:dyDescent="0.55000000000000004">
      <c r="B43">
        <v>0.13200000000000001</v>
      </c>
      <c r="C43">
        <f ca="1"/>
        <v>0.46946742433312155</v>
      </c>
      <c r="D43">
        <f ca="1"/>
        <v>1</v>
      </c>
      <c r="E43" s="12">
        <f ca="1"/>
        <v>109.55466745671781</v>
      </c>
      <c r="F43" s="11">
        <f ca="1"/>
        <v>-1.539226829790928</v>
      </c>
      <c r="G43" s="8">
        <f ca="1"/>
        <v>1.4049851690700776E-2</v>
      </c>
      <c r="H43" s="11">
        <f ca="1"/>
        <v>9.9756253895538887</v>
      </c>
      <c r="I43" s="8">
        <f ca="1"/>
        <v>-8.6504784895199194E-2</v>
      </c>
      <c r="J43" s="8">
        <f ca="1"/>
        <v>0.49862244694543456</v>
      </c>
      <c r="K43">
        <f ca="1"/>
        <v>0</v>
      </c>
      <c r="L43">
        <f ca="1"/>
        <v>0</v>
      </c>
    </row>
    <row r="44" spans="2:12" x14ac:dyDescent="0.55000000000000004">
      <c r="B44">
        <v>0.13600000000000001</v>
      </c>
      <c r="C44">
        <f ca="1"/>
        <v>0.44388229787344613</v>
      </c>
      <c r="D44">
        <f ca="1"/>
        <v>1</v>
      </c>
      <c r="E44" s="12">
        <f ca="1"/>
        <v>108.986786004393</v>
      </c>
      <c r="F44" s="11">
        <f ca="1"/>
        <v>0.97068234096851824</v>
      </c>
      <c r="G44" s="8">
        <f ca="1"/>
        <v>-8.9064222971892426E-3</v>
      </c>
      <c r="H44" s="11">
        <f ca="1"/>
        <v>10.946307730522406</v>
      </c>
      <c r="I44" s="8">
        <f ca="1"/>
        <v>-9.5411207192388436E-2</v>
      </c>
      <c r="J44" s="8">
        <f ca="1"/>
        <v>0.54774690982476493</v>
      </c>
      <c r="K44">
        <f ca="1"/>
        <v>0</v>
      </c>
      <c r="L44">
        <f ca="1"/>
        <v>0</v>
      </c>
    </row>
    <row r="45" spans="2:12" x14ac:dyDescent="0.55000000000000004">
      <c r="B45">
        <v>0.14000000000000001</v>
      </c>
      <c r="C45">
        <f ca="1"/>
        <v>0.61659233353201059</v>
      </c>
      <c r="D45">
        <f ca="1"/>
        <v>1</v>
      </c>
      <c r="E45" s="12">
        <f ca="1"/>
        <v>112.80815727246178</v>
      </c>
      <c r="F45" s="11">
        <f ca="1"/>
        <v>-7.1360264386867955</v>
      </c>
      <c r="G45" s="8">
        <f ca="1"/>
        <v>6.3258071146853223E-2</v>
      </c>
      <c r="H45" s="11">
        <f ca="1"/>
        <v>3.8102812918356106</v>
      </c>
      <c r="I45" s="8">
        <f ca="1"/>
        <v>-3.2153136045535213E-2</v>
      </c>
      <c r="J45" s="8">
        <f ca="1"/>
        <v>0.18314526400801423</v>
      </c>
      <c r="K45">
        <f ca="1"/>
        <v>0</v>
      </c>
      <c r="L45">
        <f ca="1"/>
        <v>0</v>
      </c>
    </row>
    <row r="46" spans="2:12" x14ac:dyDescent="0.55000000000000004">
      <c r="B46">
        <v>0.14400000000000002</v>
      </c>
      <c r="C46">
        <f ca="1"/>
        <v>0.67890796267445475</v>
      </c>
      <c r="D46">
        <f ca="1"/>
        <v>1</v>
      </c>
      <c r="E46" s="12">
        <f ca="1"/>
        <v>114.21375979346473</v>
      </c>
      <c r="F46" s="11">
        <f ca="1"/>
        <v>-1.4954988094185959</v>
      </c>
      <c r="G46" s="8">
        <f ca="1"/>
        <v>1.3093858499386934E-2</v>
      </c>
      <c r="H46" s="11">
        <f ca="1"/>
        <v>2.3147824824170149</v>
      </c>
      <c r="I46" s="8">
        <f ca="1"/>
        <v>-1.9059277546148279E-2</v>
      </c>
      <c r="J46" s="8">
        <f ca="1"/>
        <v>0.13795073492425924</v>
      </c>
      <c r="K46">
        <f ca="1"/>
        <v>0</v>
      </c>
      <c r="L46">
        <f ca="1"/>
        <v>0</v>
      </c>
    </row>
    <row r="47" spans="2:12" x14ac:dyDescent="0.55000000000000004">
      <c r="B47">
        <v>0.14799999999999999</v>
      </c>
      <c r="C47">
        <f ca="1"/>
        <v>0.67658447398497079</v>
      </c>
      <c r="D47">
        <f ca="1"/>
        <v>1</v>
      </c>
      <c r="E47" s="12">
        <f ca="1"/>
        <v>114.15156475715409</v>
      </c>
      <c r="F47" s="11">
        <f ca="1"/>
        <v>-0.1567174307276788</v>
      </c>
      <c r="G47" s="8">
        <f ca="1"/>
        <v>1.3728890275054861E-3</v>
      </c>
      <c r="H47" s="11">
        <f ca="1"/>
        <v>2.158065051689336</v>
      </c>
      <c r="I47" s="8">
        <f ca="1"/>
        <v>-1.7686388518642793E-2</v>
      </c>
      <c r="J47" s="8">
        <f ca="1"/>
        <v>0.1391361273832965</v>
      </c>
      <c r="K47">
        <f ca="1"/>
        <v>0</v>
      </c>
      <c r="L47">
        <f ca="1"/>
        <v>0</v>
      </c>
    </row>
    <row r="48" spans="2:12" x14ac:dyDescent="0.55000000000000004">
      <c r="B48">
        <v>0.152</v>
      </c>
      <c r="C48">
        <f ca="1"/>
        <v>0.68229123567249228</v>
      </c>
      <c r="D48">
        <f ca="1"/>
        <v>1</v>
      </c>
      <c r="E48" s="12">
        <f ca="1"/>
        <v>114.27278410407833</v>
      </c>
      <c r="F48" s="11">
        <f ca="1"/>
        <v>-0.27276030169276799</v>
      </c>
      <c r="G48" s="8">
        <f ca="1"/>
        <v>2.3869226940715915E-3</v>
      </c>
      <c r="H48" s="11">
        <f ca="1"/>
        <v>1.8853047499965681</v>
      </c>
      <c r="I48" s="8">
        <f ca="1"/>
        <v>-1.5299465824571201E-2</v>
      </c>
      <c r="J48" s="8">
        <f ca="1"/>
        <v>0.13699219491761849</v>
      </c>
      <c r="K48">
        <f ca="1"/>
        <v>0</v>
      </c>
      <c r="L48">
        <f ca="1"/>
        <v>0</v>
      </c>
    </row>
    <row r="49" spans="2:12" x14ac:dyDescent="0.55000000000000004">
      <c r="B49">
        <v>0.156</v>
      </c>
      <c r="C49">
        <f ca="1"/>
        <v>0.59885606217113718</v>
      </c>
      <c r="D49">
        <f ca="1"/>
        <v>1</v>
      </c>
      <c r="E49" s="12">
        <f ca="1"/>
        <v>112.37274191791875</v>
      </c>
      <c r="F49" s="11">
        <f ca="1"/>
        <v>1.271691721386331</v>
      </c>
      <c r="G49" s="8">
        <f ca="1"/>
        <v>-1.1316727701769724E-2</v>
      </c>
      <c r="H49" s="11">
        <f ca="1"/>
        <v>3.1569964713828993</v>
      </c>
      <c r="I49" s="8">
        <f ca="1"/>
        <v>-2.6616193526340926E-2</v>
      </c>
      <c r="J49" s="8">
        <f ca="1"/>
        <v>0.16606182541001102</v>
      </c>
      <c r="K49">
        <f ca="1"/>
        <v>0</v>
      </c>
      <c r="L49">
        <f ca="1"/>
        <v>0</v>
      </c>
    </row>
    <row r="50" spans="2:12" x14ac:dyDescent="0.55000000000000004">
      <c r="B50">
        <v>0.16</v>
      </c>
      <c r="C50">
        <f ca="1"/>
        <v>0.69351148281152941</v>
      </c>
      <c r="D50">
        <f ca="1"/>
        <v>1</v>
      </c>
      <c r="E50" s="12">
        <f ca="1"/>
        <v>114.51118256520706</v>
      </c>
      <c r="F50" s="11">
        <f ca="1"/>
        <v>-1.7815934643782436</v>
      </c>
      <c r="G50" s="8">
        <f ca="1"/>
        <v>1.5558248761982141E-2</v>
      </c>
      <c r="H50" s="11">
        <f ca="1"/>
        <v>1.3754030070046557</v>
      </c>
      <c r="I50" s="8">
        <f ca="1"/>
        <v>-1.1057944764358785E-2</v>
      </c>
      <c r="J50" s="8">
        <f ca="1"/>
        <v>0.10914467529719118</v>
      </c>
      <c r="K50">
        <f ca="1"/>
        <v>0</v>
      </c>
      <c r="L50">
        <f ca="1"/>
        <v>0</v>
      </c>
    </row>
    <row r="51" spans="2:12" x14ac:dyDescent="0.55000000000000004">
      <c r="B51">
        <v>0.16400000000000001</v>
      </c>
      <c r="C51">
        <f ca="1"/>
        <v>0.66568800991491428</v>
      </c>
      <c r="D51">
        <f ca="1"/>
        <v>1</v>
      </c>
      <c r="E51" s="12">
        <f ca="1"/>
        <v>113.86662279666884</v>
      </c>
      <c r="F51" s="11">
        <f ca="1"/>
        <v>0.15693459834712262</v>
      </c>
      <c r="G51" s="8">
        <f ca="1"/>
        <v>-1.3782317811195655E-3</v>
      </c>
      <c r="H51" s="11">
        <f ca="1"/>
        <v>1.5323376053517783</v>
      </c>
      <c r="I51" s="8">
        <f ca="1"/>
        <v>-1.243617654547835E-2</v>
      </c>
      <c r="J51" s="8">
        <f ca="1"/>
        <v>0.11627218161501496</v>
      </c>
      <c r="K51">
        <f ca="1"/>
        <v>0</v>
      </c>
      <c r="L51">
        <f ca="1"/>
        <v>0</v>
      </c>
    </row>
    <row r="52" spans="2:12" x14ac:dyDescent="0.55000000000000004">
      <c r="B52">
        <v>0.16800000000000001</v>
      </c>
      <c r="C52">
        <f ca="1"/>
        <v>0.62935490331474286</v>
      </c>
      <c r="D52">
        <f ca="1"/>
        <v>1</v>
      </c>
      <c r="E52" s="12">
        <f ca="1"/>
        <v>113.03315317954372</v>
      </c>
      <c r="F52" s="11">
        <f ca="1"/>
        <v>0.29975407031992429</v>
      </c>
      <c r="G52" s="8">
        <f ca="1"/>
        <v>-2.651912840507864E-3</v>
      </c>
      <c r="H52" s="11">
        <f ca="1"/>
        <v>1.8320916756717027</v>
      </c>
      <c r="I52" s="8">
        <f ca="1"/>
        <v>-1.5088089385986214E-2</v>
      </c>
      <c r="J52" s="8">
        <f ca="1"/>
        <v>0.12663735691887523</v>
      </c>
      <c r="K52">
        <f ca="1"/>
        <v>0</v>
      </c>
      <c r="L52">
        <f ca="1"/>
        <v>0</v>
      </c>
    </row>
    <row r="53" spans="2:12" x14ac:dyDescent="0.55000000000000004">
      <c r="B53">
        <v>0.17200000000000001</v>
      </c>
      <c r="C53">
        <f ca="1"/>
        <v>0.60957847243184127</v>
      </c>
      <c r="D53">
        <f ca="1"/>
        <v>1</v>
      </c>
      <c r="E53" s="12">
        <f ca="1"/>
        <v>112.57795111201972</v>
      </c>
      <c r="F53" s="11">
        <f ca="1"/>
        <v>8.2154705220632354E-2</v>
      </c>
      <c r="G53" s="8">
        <f ca="1"/>
        <v>-7.2975839770689221E-4</v>
      </c>
      <c r="H53" s="11">
        <f ca="1"/>
        <v>1.9142463808923351</v>
      </c>
      <c r="I53" s="8">
        <f ca="1"/>
        <v>-1.5817847783693106E-2</v>
      </c>
      <c r="J53" s="8">
        <f ca="1"/>
        <v>0.13350548640236304</v>
      </c>
      <c r="K53">
        <f ca="1"/>
        <v>0</v>
      </c>
      <c r="L53">
        <f ca="1"/>
        <v>0</v>
      </c>
    </row>
    <row r="54" spans="2:12" x14ac:dyDescent="0.55000000000000004">
      <c r="B54">
        <v>0.17599999999999999</v>
      </c>
      <c r="C54">
        <f ca="1"/>
        <v>0.62700674757993413</v>
      </c>
      <c r="D54">
        <f ca="1"/>
        <v>1</v>
      </c>
      <c r="E54" s="12">
        <f ca="1"/>
        <v>112.96200638613159</v>
      </c>
      <c r="F54" s="11">
        <f ca="1"/>
        <v>-0.46718394779256611</v>
      </c>
      <c r="G54" s="8">
        <f ca="1"/>
        <v>4.1357617728178253E-3</v>
      </c>
      <c r="H54" s="11">
        <f ca="1"/>
        <v>1.447062433099769</v>
      </c>
      <c r="I54" s="8">
        <f ca="1"/>
        <v>-1.1682086010875281E-2</v>
      </c>
      <c r="J54" s="8">
        <f ca="1"/>
        <v>0.12743055853593699</v>
      </c>
      <c r="K54">
        <f ca="1"/>
        <v>0</v>
      </c>
      <c r="L54">
        <f ca="1"/>
        <v>0</v>
      </c>
    </row>
    <row r="55" spans="2:12" x14ac:dyDescent="0.55000000000000004">
      <c r="B55">
        <v>0.18</v>
      </c>
      <c r="C55">
        <f ca="1"/>
        <v>0.64132511897383726</v>
      </c>
      <c r="D55">
        <f ca="1"/>
        <v>1</v>
      </c>
      <c r="E55" s="12">
        <f ca="1"/>
        <v>113.2768938865715</v>
      </c>
      <c r="F55" s="11">
        <f ca="1"/>
        <v>-0.34913090742528236</v>
      </c>
      <c r="G55" s="8">
        <f ca="1"/>
        <v>3.0821017018252683E-3</v>
      </c>
      <c r="H55" s="11">
        <f ca="1"/>
        <v>1.0979315256744866</v>
      </c>
      <c r="I55" s="8">
        <f ca="1"/>
        <v>-8.5999843090500128E-3</v>
      </c>
      <c r="J55" s="8">
        <f ca="1"/>
        <v>0.12375201567204841</v>
      </c>
      <c r="K55">
        <f ca="1"/>
        <v>0</v>
      </c>
      <c r="L55">
        <f ca="1"/>
        <v>0</v>
      </c>
    </row>
    <row r="56" spans="2:12" x14ac:dyDescent="0.55000000000000004">
      <c r="B56">
        <v>0.184</v>
      </c>
      <c r="C56">
        <f ca="1"/>
        <v>0.65782831248675533</v>
      </c>
      <c r="D56">
        <f ca="1"/>
        <v>1</v>
      </c>
      <c r="E56" s="12">
        <f ca="1"/>
        <v>113.6423059493936</v>
      </c>
      <c r="F56" s="11">
        <f ca="1"/>
        <v>-0.30031722369251124</v>
      </c>
      <c r="G56" s="8">
        <f ca="1"/>
        <v>2.6426533779264072E-3</v>
      </c>
      <c r="H56" s="11">
        <f ca="1"/>
        <v>0.79761430198197536</v>
      </c>
      <c r="I56" s="8">
        <f ca="1"/>
        <v>-5.9573309311236056E-3</v>
      </c>
      <c r="J56" s="8">
        <f ca="1"/>
        <v>0.12060947766544072</v>
      </c>
      <c r="K56">
        <f ca="1"/>
        <v>0</v>
      </c>
      <c r="L56">
        <f ca="1"/>
        <v>0</v>
      </c>
    </row>
    <row r="57" spans="2:12" x14ac:dyDescent="0.55000000000000004">
      <c r="B57">
        <v>0.188</v>
      </c>
      <c r="C57">
        <f ca="1"/>
        <v>0.64235078789571765</v>
      </c>
      <c r="D57">
        <f ca="1"/>
        <v>1</v>
      </c>
      <c r="E57" s="12">
        <f ca="1"/>
        <v>113.28200661685256</v>
      </c>
      <c r="F57" s="11">
        <f ca="1"/>
        <v>-2.7211581806890074E-2</v>
      </c>
      <c r="G57" s="8">
        <f ca="1"/>
        <v>2.402109798330665E-4</v>
      </c>
      <c r="H57" s="11">
        <f ca="1"/>
        <v>0.77040272017508526</v>
      </c>
      <c r="I57" s="8">
        <f ca="1"/>
        <v>-5.7171199512905391E-3</v>
      </c>
      <c r="J57" s="8">
        <f ca="1"/>
        <v>0.12275590002365067</v>
      </c>
      <c r="K57">
        <f ca="1"/>
        <v>0</v>
      </c>
      <c r="L57">
        <f ca="1"/>
        <v>0</v>
      </c>
    </row>
    <row r="58" spans="2:12" x14ac:dyDescent="0.55000000000000004">
      <c r="B58">
        <v>0.192</v>
      </c>
      <c r="C58">
        <f ca="1"/>
        <v>0.662384765376407</v>
      </c>
      <c r="D58">
        <f ca="1"/>
        <v>1</v>
      </c>
      <c r="E58" s="12">
        <f ca="1"/>
        <v>113.72771642313234</v>
      </c>
      <c r="F58" s="11">
        <f ca="1"/>
        <v>-0.24965277233140898</v>
      </c>
      <c r="G58" s="8">
        <f ca="1"/>
        <v>2.1951796816402913E-3</v>
      </c>
      <c r="H58" s="11">
        <f ca="1"/>
        <v>0.52074994784367634</v>
      </c>
      <c r="I58" s="8">
        <f ca="1"/>
        <v>-3.5219402696502478E-3</v>
      </c>
      <c r="J58" s="8">
        <f ca="1"/>
        <v>0.12020772359768273</v>
      </c>
      <c r="K58">
        <f ca="1"/>
        <v>0</v>
      </c>
      <c r="L58">
        <f ca="1"/>
        <v>0</v>
      </c>
    </row>
    <row r="59" spans="2:12" x14ac:dyDescent="0.55000000000000004">
      <c r="B59">
        <v>0.19600000000000001</v>
      </c>
      <c r="C59">
        <f ca="1"/>
        <v>0.73119859294068623</v>
      </c>
      <c r="D59">
        <f ca="1"/>
        <v>1</v>
      </c>
      <c r="E59" s="12">
        <f ca="1"/>
        <v>115.29452076302522</v>
      </c>
      <c r="F59" s="11">
        <f ca="1"/>
        <v>-0.28890373722610768</v>
      </c>
      <c r="G59" s="8">
        <f ca="1"/>
        <v>2.5057889595631044E-3</v>
      </c>
      <c r="H59" s="11">
        <f ca="1"/>
        <v>0.23184621061756866</v>
      </c>
      <c r="I59" s="8">
        <f ca="1"/>
        <v>-1.0161513100871433E-3</v>
      </c>
      <c r="J59" s="8">
        <f ca="1"/>
        <v>0.11468953229835124</v>
      </c>
      <c r="K59">
        <f ca="1"/>
        <v>0</v>
      </c>
      <c r="L59">
        <f ca="1"/>
        <v>0</v>
      </c>
    </row>
    <row r="60" spans="2:12" x14ac:dyDescent="0.55000000000000004">
      <c r="B60">
        <v>0.2</v>
      </c>
      <c r="C60">
        <f ca="1"/>
        <v>0.79290798755025516</v>
      </c>
      <c r="D60">
        <f ca="1"/>
        <v>1</v>
      </c>
      <c r="E60" s="12">
        <f ca="1"/>
        <v>116.71695122980141</v>
      </c>
      <c r="F60" s="11">
        <f ca="1"/>
        <v>-8.9221093316398575E-2</v>
      </c>
      <c r="G60" s="8">
        <f ca="1"/>
        <v>7.6442275416133132E-4</v>
      </c>
      <c r="H60" s="11">
        <f ca="1"/>
        <v>0.14262511730117008</v>
      </c>
      <c r="I60" s="8">
        <f ca="1"/>
        <v>-2.51728555925812E-4</v>
      </c>
      <c r="J60" s="8">
        <f ca="1"/>
        <v>0.11324412771602875</v>
      </c>
      <c r="K60">
        <f ca="1"/>
        <v>0</v>
      </c>
      <c r="L60">
        <f ca="1"/>
        <v>0</v>
      </c>
    </row>
    <row r="61" spans="2:12" x14ac:dyDescent="0.55000000000000004">
      <c r="B61">
        <v>0.20400000000000001</v>
      </c>
      <c r="C61">
        <f ca="1"/>
        <v>0.78282330367305986</v>
      </c>
      <c r="D61">
        <f ca="1"/>
        <v>1</v>
      </c>
      <c r="E61" s="12">
        <f ca="1"/>
        <v>116.47245959379066</v>
      </c>
      <c r="F61" s="11">
        <f ca="1"/>
        <v>-9.0218533686409544E-3</v>
      </c>
      <c r="G61" s="8">
        <f ca="1"/>
        <v>7.7459112652944473E-5</v>
      </c>
      <c r="H61" s="11">
        <f ca="1"/>
        <v>0.13360326393252914</v>
      </c>
      <c r="I61" s="8">
        <f ca="1"/>
        <v>-1.7426944327286753E-4</v>
      </c>
      <c r="J61" s="8">
        <f ca="1"/>
        <v>0.11330567324249768</v>
      </c>
      <c r="K61">
        <f ca="1"/>
        <v>0</v>
      </c>
      <c r="L61">
        <f ca="1"/>
        <v>0</v>
      </c>
    </row>
    <row r="62" spans="2:12" x14ac:dyDescent="0.55000000000000004">
      <c r="B62">
        <v>0.20800000000000002</v>
      </c>
      <c r="C62">
        <f ca="1"/>
        <v>0.71992655556273177</v>
      </c>
      <c r="D62">
        <f ca="1"/>
        <v>1</v>
      </c>
      <c r="E62" s="12">
        <f ca="1"/>
        <v>115.00728763570127</v>
      </c>
      <c r="F62" s="11">
        <f ca="1"/>
        <v>1.4425882091699987E-2</v>
      </c>
      <c r="G62" s="8">
        <f ca="1"/>
        <v>-1.2543450409330248E-4</v>
      </c>
      <c r="H62" s="11">
        <f ca="1"/>
        <v>0.14802914602422912</v>
      </c>
      <c r="I62" s="8">
        <f ca="1"/>
        <v>-2.9970394736617001E-4</v>
      </c>
      <c r="J62" s="8">
        <f ca="1"/>
        <v>0.11356100794393292</v>
      </c>
      <c r="K62">
        <f ca="1"/>
        <v>0</v>
      </c>
      <c r="L62">
        <f ca="1"/>
        <v>0</v>
      </c>
    </row>
    <row r="63" spans="2:12" x14ac:dyDescent="0.55000000000000004">
      <c r="B63">
        <v>0.21199999999999999</v>
      </c>
      <c r="C63">
        <f ca="1"/>
        <v>0.77959706827084396</v>
      </c>
      <c r="D63">
        <f ca="1"/>
        <v>1</v>
      </c>
      <c r="E63" s="12">
        <f ca="1"/>
        <v>116.37870823731966</v>
      </c>
      <c r="F63" s="11">
        <f ca="1"/>
        <v>-2.9508249996014063E-2</v>
      </c>
      <c r="G63" s="8">
        <f ca="1"/>
        <v>2.5355368213780816E-4</v>
      </c>
      <c r="H63" s="11">
        <f ca="1"/>
        <v>0.11852089602821506</v>
      </c>
      <c r="I63" s="8">
        <f ca="1"/>
        <v>-4.6150265228361853E-5</v>
      </c>
      <c r="J63" s="8">
        <f ca="1"/>
        <v>0.11314998777612861</v>
      </c>
      <c r="K63">
        <f ca="1"/>
        <v>0</v>
      </c>
      <c r="L63">
        <f ca="1"/>
        <v>0</v>
      </c>
    </row>
    <row r="64" spans="2:12" x14ac:dyDescent="0.55000000000000004">
      <c r="B64">
        <v>0.216</v>
      </c>
      <c r="C64">
        <f ca="1"/>
        <v>0.78364741119686943</v>
      </c>
      <c r="D64">
        <f ca="1"/>
        <v>1</v>
      </c>
      <c r="E64" s="12">
        <f ca="1"/>
        <v>116.46370369867336</v>
      </c>
      <c r="F64" s="11">
        <f ca="1"/>
        <v>-3.4490708131105518E-3</v>
      </c>
      <c r="G64" s="8">
        <f ca="1"/>
        <v>2.9614984785597542E-5</v>
      </c>
      <c r="H64" s="11">
        <f ca="1"/>
        <v>0.11507182521510451</v>
      </c>
      <c r="I64" s="8">
        <f ca="1"/>
        <v>-1.6535280442764311E-5</v>
      </c>
      <c r="J64" s="8">
        <f ca="1"/>
        <v>0.11314606521304393</v>
      </c>
      <c r="K64">
        <f ca="1"/>
        <v>0</v>
      </c>
      <c r="L64">
        <f ca="1"/>
        <v>0</v>
      </c>
    </row>
    <row r="65" spans="2:12" x14ac:dyDescent="0.55000000000000004">
      <c r="B65">
        <v>0.22</v>
      </c>
      <c r="C65">
        <f ca="1"/>
        <v>0.78852309851795421</v>
      </c>
      <c r="D65">
        <f ca="1"/>
        <v>1</v>
      </c>
      <c r="E65" s="12">
        <f ca="1"/>
        <v>116.56800139649965</v>
      </c>
      <c r="F65" s="11">
        <f ca="1"/>
        <v>-1.4100528374403826E-3</v>
      </c>
      <c r="G65" s="8">
        <f ca="1"/>
        <v>1.2096397129124359E-5</v>
      </c>
      <c r="H65" s="11">
        <f ca="1"/>
        <v>0.11366177237766413</v>
      </c>
      <c r="I65" s="8">
        <f ca="1"/>
        <v>-4.4388833136399519E-6</v>
      </c>
      <c r="J65" s="8">
        <f ca="1"/>
        <v>0.11314434062136085</v>
      </c>
      <c r="K65">
        <f ca="1"/>
        <v>0</v>
      </c>
      <c r="L65">
        <f ca="1"/>
        <v>0</v>
      </c>
    </row>
    <row r="66" spans="2:12" x14ac:dyDescent="0.55000000000000004">
      <c r="B66">
        <v>0.224</v>
      </c>
      <c r="C66">
        <f ca="1"/>
        <v>0.82432001732875915</v>
      </c>
      <c r="D66">
        <f ca="1"/>
        <v>1</v>
      </c>
      <c r="E66" s="12">
        <f ca="1"/>
        <v>117.39615897666158</v>
      </c>
      <c r="F66" s="11">
        <f ca="1"/>
        <v>-4.855600434212416E-4</v>
      </c>
      <c r="G66" s="8">
        <f ca="1"/>
        <v>4.1360811772195305E-6</v>
      </c>
      <c r="H66" s="11">
        <f ca="1"/>
        <v>0.1131762123342429</v>
      </c>
      <c r="I66" s="8">
        <f ca="1"/>
        <v>-3.0280213642042142E-7</v>
      </c>
      <c r="J66" s="8">
        <f ca="1"/>
        <v>0.11314066452649721</v>
      </c>
      <c r="K66">
        <f ca="1"/>
        <v>0</v>
      </c>
      <c r="L66">
        <f ca="1"/>
        <v>0</v>
      </c>
    </row>
    <row r="67" spans="2:12" x14ac:dyDescent="0.55000000000000004">
      <c r="B67">
        <v>0.22800000000000001</v>
      </c>
      <c r="C67">
        <f ca="1"/>
        <v>0.66729348735168936</v>
      </c>
      <c r="D67">
        <f ca="1"/>
        <v>1</v>
      </c>
      <c r="E67" s="12">
        <f ca="1"/>
        <v>113.7574879115588</v>
      </c>
      <c r="F67" s="11">
        <f ca="1"/>
        <v>7.0531051471193237E-4</v>
      </c>
      <c r="G67" s="8">
        <f ca="1"/>
        <v>-6.2001238569919792E-6</v>
      </c>
      <c r="H67" s="11">
        <f ca="1"/>
        <v>0.11388152284895482</v>
      </c>
      <c r="I67" s="8">
        <f ca="1"/>
        <v>-6.5029259934124006E-6</v>
      </c>
      <c r="J67" s="8">
        <f ca="1"/>
        <v>0.11314176632386945</v>
      </c>
      <c r="K67">
        <f ca="1"/>
        <v>0</v>
      </c>
      <c r="L67">
        <f ca="1"/>
        <v>0</v>
      </c>
    </row>
    <row r="68" spans="2:12" x14ac:dyDescent="0.55000000000000004">
      <c r="B68">
        <v>0.23200000000000001</v>
      </c>
      <c r="C68">
        <f ca="1"/>
        <v>0.7662468424471256</v>
      </c>
      <c r="D68">
        <f ca="1"/>
        <v>1</v>
      </c>
      <c r="E68" s="12">
        <f ca="1"/>
        <v>116.02196823097711</v>
      </c>
      <c r="F68" s="11">
        <f ca="1"/>
        <v>-7.5284168315564899E-4</v>
      </c>
      <c r="G68" s="8">
        <f ca="1"/>
        <v>6.4887856552897638E-6</v>
      </c>
      <c r="H68" s="11">
        <f ca="1"/>
        <v>0.11312868116579917</v>
      </c>
      <c r="I68" s="8">
        <f ca="1"/>
        <v>-1.414033812263682E-8</v>
      </c>
      <c r="J68" s="8">
        <f ca="1"/>
        <v>0.11312704057593874</v>
      </c>
      <c r="K68">
        <f ca="1"/>
        <v>0</v>
      </c>
      <c r="L68">
        <f ca="1"/>
        <v>0</v>
      </c>
    </row>
    <row r="69" spans="2:12" x14ac:dyDescent="0.55000000000000004">
      <c r="B69">
        <v>0.23600000000000002</v>
      </c>
      <c r="C69">
        <f ca="1"/>
        <v>0.8004005467730847</v>
      </c>
      <c r="D69">
        <f ca="1"/>
        <v>1</v>
      </c>
      <c r="E69" s="12">
        <f ca="1"/>
        <v>116.80785213792116</v>
      </c>
      <c r="F69" s="11">
        <f ca="1"/>
        <v>-1.648898841546027E-6</v>
      </c>
      <c r="G69" s="8">
        <f ca="1"/>
        <v>1.4116335600444785E-8</v>
      </c>
      <c r="H69" s="11">
        <f ca="1"/>
        <v>0.11312703226695763</v>
      </c>
      <c r="I69" s="8">
        <f ca="1"/>
        <v>-2.4002522192034803E-11</v>
      </c>
      <c r="J69" s="8">
        <f ca="1"/>
        <v>0.11312702946327456</v>
      </c>
      <c r="K69">
        <f ca="1"/>
        <v>0</v>
      </c>
      <c r="L69">
        <f ca="1"/>
        <v>0</v>
      </c>
    </row>
    <row r="70" spans="2:12" x14ac:dyDescent="0.55000000000000004">
      <c r="B70">
        <v>0.24</v>
      </c>
      <c r="C70">
        <f ca="1"/>
        <v>0.79221234774450988</v>
      </c>
      <c r="D70">
        <f ca="1"/>
        <v>1</v>
      </c>
      <c r="E70" s="12">
        <f ca="1"/>
        <v>116.60739053117157</v>
      </c>
      <c r="F70" s="11">
        <f ca="1"/>
        <v>-2.7980299876159553E-9</v>
      </c>
      <c r="G70" s="8">
        <f ca="1"/>
        <v>2.399530574237474E-11</v>
      </c>
      <c r="H70" s="11">
        <f ca="1"/>
        <v>0.11312702946892764</v>
      </c>
      <c r="I70" s="8">
        <f ca="1"/>
        <v>-7.2164496600635175E-15</v>
      </c>
      <c r="J70" s="8">
        <f ca="1"/>
        <v>0.11312702946808614</v>
      </c>
      <c r="K70">
        <f ca="1"/>
        <v>0</v>
      </c>
      <c r="L70">
        <f ca="1"/>
        <v>0</v>
      </c>
    </row>
    <row r="71" spans="2:12" x14ac:dyDescent="0.55000000000000004">
      <c r="B71">
        <v>0.24399999999999999</v>
      </c>
      <c r="C71">
        <f ca="1"/>
        <v>0.78814415576952479</v>
      </c>
      <c r="D71">
        <f ca="1"/>
        <v>1</v>
      </c>
      <c r="E71" s="12">
        <f ca="1"/>
        <v>116.50323223670969</v>
      </c>
      <c r="F71" s="11">
        <f ca="1"/>
        <v>-8.4073971067090469E-13</v>
      </c>
      <c r="G71" s="8">
        <f ca="1"/>
        <v>7.2164496600635175E-15</v>
      </c>
      <c r="H71" s="11">
        <f ca="1"/>
        <v>0.11312702946808689</v>
      </c>
      <c r="I71" s="8">
        <f ca="1"/>
        <v>0</v>
      </c>
      <c r="J71" s="8">
        <f ca="1"/>
        <v>0.11312702946808689</v>
      </c>
      <c r="K71">
        <f ca="1"/>
        <v>0</v>
      </c>
      <c r="L71">
        <f ca="1"/>
        <v>0</v>
      </c>
    </row>
    <row r="72" spans="2:12" x14ac:dyDescent="0.55000000000000004">
      <c r="B72">
        <v>0.248</v>
      </c>
      <c r="C72">
        <f ca="1"/>
        <v>0.78714587266686697</v>
      </c>
      <c r="D72">
        <f ca="1"/>
        <v>1</v>
      </c>
      <c r="E72" s="12">
        <f ca="1"/>
        <v>116.47065589180895</v>
      </c>
      <c r="F72" s="11">
        <f ca="1"/>
        <v>-0.11312702946808689</v>
      </c>
      <c r="G72" s="8">
        <f ca="1"/>
        <v>0</v>
      </c>
      <c r="H72" s="11">
        <f ca="1"/>
        <v>0</v>
      </c>
      <c r="I72" s="8">
        <f ca="1"/>
        <v>0</v>
      </c>
      <c r="J72" s="8">
        <f ca="1"/>
        <v>0</v>
      </c>
      <c r="K72">
        <f ca="1"/>
        <v>0.11312702946808689</v>
      </c>
      <c r="L72">
        <f ca="1"/>
        <v>0</v>
      </c>
    </row>
    <row r="73" spans="2:12" x14ac:dyDescent="0.55000000000000004">
      <c r="E73" s="12"/>
      <c r="F73" s="11"/>
      <c r="G73" s="8"/>
      <c r="H73" s="11"/>
      <c r="I73" s="8"/>
      <c r="J73" s="8"/>
    </row>
    <row r="74" spans="2:12" x14ac:dyDescent="0.55000000000000004">
      <c r="E74" s="12"/>
      <c r="F74" s="11"/>
      <c r="G74" s="8"/>
      <c r="H74" s="11"/>
      <c r="I74" s="8"/>
      <c r="J74" s="8"/>
    </row>
    <row r="75" spans="2:12" x14ac:dyDescent="0.55000000000000004">
      <c r="E75" s="12"/>
      <c r="F75" s="11"/>
      <c r="G75" s="8"/>
      <c r="H75" s="11"/>
      <c r="I75" s="8"/>
      <c r="J75" s="8"/>
    </row>
    <row r="76" spans="2:12" x14ac:dyDescent="0.55000000000000004">
      <c r="E76" s="12"/>
      <c r="F76" s="11"/>
      <c r="G76" s="8"/>
      <c r="H76" s="11"/>
      <c r="I76" s="8"/>
      <c r="J76" s="8"/>
    </row>
    <row r="77" spans="2:12" x14ac:dyDescent="0.55000000000000004">
      <c r="E77" s="12"/>
      <c r="F77" s="11"/>
      <c r="G77" s="8"/>
      <c r="H77" s="11"/>
      <c r="I77" s="8"/>
      <c r="J77" s="8"/>
    </row>
    <row r="78" spans="2:12" x14ac:dyDescent="0.55000000000000004">
      <c r="E78" s="12"/>
      <c r="F78" s="11"/>
      <c r="G78" s="8"/>
      <c r="H78" s="11"/>
      <c r="I78" s="8"/>
      <c r="J78" s="8"/>
    </row>
    <row r="79" spans="2:12" x14ac:dyDescent="0.55000000000000004">
      <c r="E79" s="12"/>
      <c r="F79" s="11"/>
      <c r="G79" s="8"/>
      <c r="H79" s="11"/>
      <c r="I79" s="8"/>
      <c r="J79" s="8"/>
    </row>
    <row r="80" spans="2:12" x14ac:dyDescent="0.55000000000000004">
      <c r="E80" s="12"/>
      <c r="F80" s="11"/>
      <c r="G80" s="8"/>
      <c r="H80" s="11"/>
      <c r="I80" s="8"/>
      <c r="J80" s="8"/>
    </row>
    <row r="81" spans="5:10" x14ac:dyDescent="0.55000000000000004">
      <c r="E81" s="12"/>
      <c r="F81" s="11"/>
      <c r="G81" s="8"/>
      <c r="H81" s="11"/>
      <c r="I81" s="8"/>
      <c r="J81" s="8"/>
    </row>
    <row r="82" spans="5:10" x14ac:dyDescent="0.55000000000000004">
      <c r="E82" s="12"/>
      <c r="F82" s="11"/>
      <c r="G82" s="8"/>
      <c r="H82" s="11"/>
      <c r="I82" s="8"/>
      <c r="J82" s="8"/>
    </row>
    <row r="83" spans="5:10" x14ac:dyDescent="0.55000000000000004">
      <c r="E83" s="12"/>
      <c r="F83" s="11"/>
      <c r="G83" s="8"/>
      <c r="H83" s="11"/>
      <c r="I83" s="8"/>
      <c r="J83" s="8"/>
    </row>
    <row r="84" spans="5:10" x14ac:dyDescent="0.55000000000000004">
      <c r="E84" s="12"/>
      <c r="F84" s="11"/>
      <c r="G84" s="8"/>
      <c r="H84" s="11"/>
      <c r="I84" s="8"/>
      <c r="J84" s="8"/>
    </row>
    <row r="85" spans="5:10" x14ac:dyDescent="0.55000000000000004">
      <c r="E85" s="12"/>
      <c r="F85" s="11"/>
      <c r="G85" s="8"/>
      <c r="H85" s="11"/>
      <c r="I85" s="8"/>
      <c r="J85" s="8"/>
    </row>
    <row r="86" spans="5:10" x14ac:dyDescent="0.55000000000000004">
      <c r="E86" s="12"/>
      <c r="F86" s="11"/>
      <c r="G86" s="8"/>
      <c r="H86" s="11"/>
      <c r="I86" s="8"/>
      <c r="J86" s="8"/>
    </row>
    <row r="87" spans="5:10" x14ac:dyDescent="0.55000000000000004">
      <c r="E87" s="12"/>
      <c r="F87" s="11"/>
      <c r="G87" s="8"/>
      <c r="H87" s="11"/>
      <c r="I87" s="8"/>
      <c r="J87" s="8"/>
    </row>
    <row r="88" spans="5:10" x14ac:dyDescent="0.55000000000000004">
      <c r="E88" s="12"/>
      <c r="F88" s="11"/>
      <c r="G88" s="8"/>
      <c r="H88" s="11"/>
      <c r="I88" s="8"/>
      <c r="J88" s="8"/>
    </row>
    <row r="89" spans="5:10" x14ac:dyDescent="0.55000000000000004">
      <c r="E89" s="12"/>
      <c r="F89" s="11"/>
      <c r="G89" s="8"/>
      <c r="H89" s="11"/>
      <c r="I89" s="8"/>
      <c r="J89" s="8"/>
    </row>
    <row r="90" spans="5:10" x14ac:dyDescent="0.55000000000000004">
      <c r="E90" s="12"/>
      <c r="F90" s="11"/>
      <c r="G90" s="8"/>
      <c r="H90" s="11"/>
      <c r="I90" s="8"/>
      <c r="J90" s="8"/>
    </row>
    <row r="91" spans="5:10" x14ac:dyDescent="0.55000000000000004">
      <c r="E91" s="12"/>
      <c r="F91" s="11"/>
      <c r="G91" s="8"/>
      <c r="H91" s="11"/>
      <c r="I91" s="8"/>
      <c r="J91" s="8"/>
    </row>
    <row r="92" spans="5:10" x14ac:dyDescent="0.55000000000000004">
      <c r="E92" s="12"/>
      <c r="F92" s="11"/>
      <c r="G92" s="8"/>
      <c r="H92" s="11"/>
      <c r="I92" s="8"/>
      <c r="J92" s="8"/>
    </row>
    <row r="93" spans="5:10" x14ac:dyDescent="0.55000000000000004">
      <c r="E93" s="12"/>
      <c r="F93" s="11"/>
      <c r="G93" s="8"/>
      <c r="H93" s="11"/>
      <c r="I93" s="8"/>
      <c r="J93" s="8"/>
    </row>
    <row r="94" spans="5:10" x14ac:dyDescent="0.55000000000000004">
      <c r="E94" s="12"/>
      <c r="F94" s="11"/>
      <c r="G94" s="8"/>
      <c r="H94" s="11"/>
      <c r="I94" s="8"/>
      <c r="J94" s="8"/>
    </row>
    <row r="95" spans="5:10" x14ac:dyDescent="0.55000000000000004">
      <c r="E95" s="12"/>
      <c r="F95" s="11"/>
      <c r="G95" s="8"/>
      <c r="H95" s="11"/>
      <c r="I95" s="8"/>
      <c r="J95" s="8"/>
    </row>
    <row r="96" spans="5:10" x14ac:dyDescent="0.55000000000000004">
      <c r="E96" s="12"/>
      <c r="F96" s="11"/>
      <c r="G96" s="8"/>
      <c r="H96" s="11"/>
      <c r="I96" s="8"/>
      <c r="J96" s="8"/>
    </row>
    <row r="97" spans="5:10" x14ac:dyDescent="0.55000000000000004">
      <c r="E97" s="12"/>
      <c r="F97" s="11"/>
      <c r="G97" s="8"/>
      <c r="H97" s="11"/>
      <c r="I97" s="8"/>
      <c r="J97" s="8"/>
    </row>
    <row r="98" spans="5:10" x14ac:dyDescent="0.55000000000000004">
      <c r="E98" s="12"/>
      <c r="F98" s="11"/>
      <c r="G98" s="8"/>
      <c r="H98" s="11"/>
      <c r="I98" s="8"/>
      <c r="J98" s="8"/>
    </row>
    <row r="99" spans="5:10" x14ac:dyDescent="0.55000000000000004">
      <c r="E99" s="12"/>
      <c r="F99" s="11"/>
      <c r="G99" s="8"/>
      <c r="H99" s="11"/>
      <c r="I99" s="8"/>
    </row>
    <row r="100" spans="5:10" x14ac:dyDescent="0.55000000000000004">
      <c r="E100" s="12"/>
      <c r="F100" s="11"/>
      <c r="G100" s="8"/>
      <c r="H100" s="11"/>
      <c r="I100" s="8"/>
    </row>
    <row r="101" spans="5:10" x14ac:dyDescent="0.55000000000000004">
      <c r="E101" s="12"/>
      <c r="F101" s="11"/>
      <c r="G101" s="8"/>
      <c r="H101" s="11"/>
      <c r="I101" s="8"/>
    </row>
    <row r="102" spans="5:10" x14ac:dyDescent="0.55000000000000004">
      <c r="E102" s="12"/>
      <c r="F102" s="11"/>
      <c r="G102" s="8"/>
      <c r="H102" s="11"/>
      <c r="I102" s="8"/>
    </row>
    <row r="103" spans="5:10" x14ac:dyDescent="0.55000000000000004">
      <c r="E103" s="12"/>
      <c r="F103" s="11"/>
      <c r="G103" s="8"/>
      <c r="H103" s="11"/>
      <c r="I103" s="8"/>
    </row>
    <row r="104" spans="5:10" x14ac:dyDescent="0.55000000000000004">
      <c r="E104" s="12"/>
      <c r="F104" s="11"/>
      <c r="G104" s="8"/>
      <c r="H104" s="11"/>
      <c r="I104" s="8"/>
    </row>
    <row r="105" spans="5:10" x14ac:dyDescent="0.55000000000000004">
      <c r="E105" s="12"/>
      <c r="F105" s="11"/>
      <c r="G105" s="8"/>
      <c r="H105" s="11"/>
      <c r="I105" s="8"/>
    </row>
    <row r="106" spans="5:10" x14ac:dyDescent="0.55000000000000004">
      <c r="E106" s="12"/>
      <c r="F106" s="11"/>
      <c r="G106" s="8"/>
      <c r="H106" s="11"/>
      <c r="I106" s="8"/>
    </row>
    <row r="107" spans="5:10" x14ac:dyDescent="0.55000000000000004">
      <c r="E107" s="12"/>
      <c r="F107" s="11"/>
      <c r="G107" s="8"/>
      <c r="H107" s="11"/>
      <c r="I107" s="8"/>
    </row>
    <row r="108" spans="5:10" x14ac:dyDescent="0.55000000000000004">
      <c r="E108" s="12"/>
      <c r="F108" s="11"/>
      <c r="G108" s="8"/>
      <c r="H108" s="11"/>
      <c r="I108" s="8"/>
    </row>
    <row r="109" spans="5:10" x14ac:dyDescent="0.55000000000000004">
      <c r="E109" s="12"/>
      <c r="F109" s="11"/>
      <c r="G109" s="8"/>
      <c r="H109" s="11"/>
      <c r="I109" s="8"/>
    </row>
    <row r="110" spans="5:10" x14ac:dyDescent="0.55000000000000004">
      <c r="E110" s="12"/>
      <c r="F110" s="11"/>
      <c r="G110" s="8"/>
      <c r="H110" s="11"/>
      <c r="I110" s="8"/>
    </row>
    <row r="111" spans="5:10" x14ac:dyDescent="0.55000000000000004">
      <c r="F111" s="11"/>
      <c r="G111" s="8"/>
      <c r="H111" s="11"/>
      <c r="I111" s="8"/>
    </row>
    <row r="112" spans="5:10" x14ac:dyDescent="0.55000000000000004">
      <c r="F112" s="11"/>
      <c r="G112" s="8"/>
      <c r="H112" s="11"/>
      <c r="I112" s="8"/>
    </row>
    <row r="113" spans="6:9" x14ac:dyDescent="0.55000000000000004">
      <c r="F113" s="11"/>
      <c r="G113" s="8"/>
      <c r="H113" s="11"/>
      <c r="I113" s="8"/>
    </row>
    <row r="114" spans="6:9" x14ac:dyDescent="0.55000000000000004">
      <c r="F114" s="11"/>
      <c r="G114" s="8"/>
      <c r="H114" s="11"/>
      <c r="I114" s="8"/>
    </row>
    <row r="115" spans="6:9" x14ac:dyDescent="0.55000000000000004">
      <c r="F115" s="11"/>
      <c r="G115" s="8"/>
      <c r="H115" s="11"/>
      <c r="I115" s="8"/>
    </row>
    <row r="116" spans="6:9" x14ac:dyDescent="0.55000000000000004">
      <c r="F116" s="11"/>
      <c r="G116" s="8"/>
      <c r="H116" s="11"/>
      <c r="I116" s="8"/>
    </row>
    <row r="117" spans="6:9" x14ac:dyDescent="0.55000000000000004">
      <c r="F117" s="11"/>
      <c r="G117" s="8"/>
      <c r="H117" s="11"/>
      <c r="I117" s="8"/>
    </row>
    <row r="118" spans="6:9" x14ac:dyDescent="0.55000000000000004">
      <c r="F118" s="11"/>
      <c r="G118" s="8"/>
      <c r="H118" s="11"/>
      <c r="I118" s="8"/>
    </row>
    <row r="119" spans="6:9" x14ac:dyDescent="0.55000000000000004">
      <c r="F119" s="11"/>
      <c r="G119" s="8"/>
      <c r="H119" s="11"/>
      <c r="I119" s="8"/>
    </row>
    <row r="120" spans="6:9" x14ac:dyDescent="0.55000000000000004">
      <c r="F120" s="11"/>
      <c r="G120" s="8"/>
      <c r="H120" s="11"/>
      <c r="I120" s="8"/>
    </row>
    <row r="121" spans="6:9" x14ac:dyDescent="0.55000000000000004">
      <c r="F121" s="11"/>
      <c r="G121" s="8"/>
      <c r="H121" s="11"/>
      <c r="I121" s="8"/>
    </row>
    <row r="122" spans="6:9" x14ac:dyDescent="0.55000000000000004">
      <c r="F122" s="11"/>
      <c r="G122" s="8"/>
      <c r="H122" s="11"/>
      <c r="I122" s="8"/>
    </row>
    <row r="123" spans="6:9" x14ac:dyDescent="0.55000000000000004">
      <c r="F123" s="11"/>
      <c r="G123" s="8"/>
      <c r="H123" s="11"/>
      <c r="I123" s="8"/>
    </row>
    <row r="124" spans="6:9" x14ac:dyDescent="0.55000000000000004">
      <c r="F124" s="11"/>
      <c r="G124" s="8"/>
      <c r="H124" s="11"/>
      <c r="I124" s="8"/>
    </row>
    <row r="125" spans="6:9" x14ac:dyDescent="0.55000000000000004">
      <c r="F125" s="11"/>
      <c r="G125" s="8"/>
      <c r="H125" s="11"/>
      <c r="I125" s="8"/>
    </row>
    <row r="126" spans="6:9" x14ac:dyDescent="0.55000000000000004">
      <c r="F126" s="11"/>
      <c r="G126" s="8"/>
      <c r="H126" s="11"/>
      <c r="I126" s="8"/>
    </row>
    <row r="127" spans="6:9" x14ac:dyDescent="0.55000000000000004">
      <c r="F127" s="11"/>
      <c r="G127" s="8"/>
      <c r="H127" s="11"/>
      <c r="I127" s="8"/>
    </row>
    <row r="128" spans="6:9" x14ac:dyDescent="0.55000000000000004">
      <c r="F128" s="11"/>
      <c r="G128" s="8"/>
      <c r="H128" s="11"/>
      <c r="I128" s="8"/>
    </row>
    <row r="129" spans="6:9" x14ac:dyDescent="0.55000000000000004">
      <c r="F129" s="11"/>
      <c r="G129" s="8"/>
      <c r="H129" s="11"/>
      <c r="I129" s="8"/>
    </row>
    <row r="130" spans="6:9" x14ac:dyDescent="0.55000000000000004">
      <c r="F130" s="11"/>
      <c r="G130" s="8"/>
      <c r="H130" s="11"/>
      <c r="I130" s="8"/>
    </row>
    <row r="131" spans="6:9" x14ac:dyDescent="0.55000000000000004">
      <c r="F131" s="11"/>
      <c r="G131" s="8"/>
      <c r="H131" s="11"/>
      <c r="I131" s="8"/>
    </row>
    <row r="132" spans="6:9" x14ac:dyDescent="0.55000000000000004">
      <c r="F132" s="11"/>
      <c r="G132" s="8"/>
      <c r="H132" s="11"/>
      <c r="I132" s="8"/>
    </row>
    <row r="133" spans="6:9" x14ac:dyDescent="0.55000000000000004">
      <c r="F133" s="11"/>
      <c r="G133" s="8"/>
      <c r="H133" s="11"/>
      <c r="I133" s="8"/>
    </row>
    <row r="134" spans="6:9" x14ac:dyDescent="0.55000000000000004">
      <c r="F134" s="11"/>
      <c r="G134" s="8"/>
      <c r="H134" s="11"/>
      <c r="I134" s="8"/>
    </row>
    <row r="135" spans="6:9" x14ac:dyDescent="0.55000000000000004">
      <c r="F135" s="11"/>
      <c r="G135" s="8"/>
      <c r="H135" s="11"/>
      <c r="I135" s="8"/>
    </row>
    <row r="136" spans="6:9" x14ac:dyDescent="0.55000000000000004">
      <c r="F136" s="11"/>
      <c r="G136" s="8"/>
      <c r="H136" s="11"/>
      <c r="I136" s="8"/>
    </row>
    <row r="137" spans="6:9" x14ac:dyDescent="0.55000000000000004">
      <c r="F137" s="11"/>
      <c r="G137" s="8"/>
      <c r="H137" s="11"/>
      <c r="I137" s="8"/>
    </row>
    <row r="138" spans="6:9" x14ac:dyDescent="0.55000000000000004">
      <c r="F138" s="11"/>
      <c r="G138" s="8"/>
      <c r="H138" s="11"/>
      <c r="I138" s="8"/>
    </row>
    <row r="139" spans="6:9" x14ac:dyDescent="0.55000000000000004">
      <c r="F139" s="11"/>
      <c r="G139" s="8"/>
      <c r="H139" s="11"/>
      <c r="I139" s="8"/>
    </row>
    <row r="140" spans="6:9" x14ac:dyDescent="0.55000000000000004">
      <c r="F140" s="11"/>
      <c r="G140" s="8"/>
      <c r="H140" s="11"/>
      <c r="I140" s="8"/>
    </row>
    <row r="141" spans="6:9" x14ac:dyDescent="0.55000000000000004">
      <c r="F141" s="11"/>
      <c r="G141" s="8"/>
      <c r="H141" s="11"/>
      <c r="I141" s="8"/>
    </row>
    <row r="142" spans="6:9" x14ac:dyDescent="0.55000000000000004">
      <c r="F142" s="11"/>
      <c r="G142" s="8"/>
      <c r="H142" s="11"/>
      <c r="I142" s="8"/>
    </row>
    <row r="143" spans="6:9" x14ac:dyDescent="0.55000000000000004">
      <c r="F143" s="11"/>
      <c r="G143" s="8"/>
      <c r="I143" s="8"/>
    </row>
    <row r="144" spans="6:9" x14ac:dyDescent="0.55000000000000004">
      <c r="F144" s="11"/>
      <c r="G144" s="8"/>
      <c r="I144" s="8"/>
    </row>
    <row r="145" spans="6:9" x14ac:dyDescent="0.55000000000000004">
      <c r="F145" s="11"/>
      <c r="G145" s="8"/>
      <c r="I145" s="8"/>
    </row>
    <row r="146" spans="6:9" x14ac:dyDescent="0.55000000000000004">
      <c r="F146" s="11"/>
      <c r="G146" s="8"/>
      <c r="I146" s="8"/>
    </row>
    <row r="147" spans="6:9" x14ac:dyDescent="0.55000000000000004">
      <c r="F147" s="11"/>
      <c r="G147" s="8"/>
      <c r="I147" s="8"/>
    </row>
    <row r="148" spans="6:9" x14ac:dyDescent="0.55000000000000004">
      <c r="F148" s="11"/>
      <c r="G148" s="8"/>
      <c r="I148" s="8"/>
    </row>
    <row r="149" spans="6:9" x14ac:dyDescent="0.55000000000000004">
      <c r="F149" s="11"/>
      <c r="G149" s="8"/>
      <c r="I149" s="8"/>
    </row>
    <row r="150" spans="6:9" x14ac:dyDescent="0.55000000000000004">
      <c r="F150" s="11"/>
      <c r="G150" s="8"/>
      <c r="I150" s="8"/>
    </row>
    <row r="151" spans="6:9" x14ac:dyDescent="0.55000000000000004">
      <c r="F151" s="11"/>
      <c r="G151" s="8"/>
      <c r="I151" s="8"/>
    </row>
    <row r="152" spans="6:9" x14ac:dyDescent="0.55000000000000004">
      <c r="F152" s="11"/>
      <c r="G152" s="8"/>
      <c r="I152" s="8"/>
    </row>
    <row r="153" spans="6:9" x14ac:dyDescent="0.55000000000000004">
      <c r="F153" s="11"/>
      <c r="G153" s="8"/>
      <c r="I153" s="8"/>
    </row>
    <row r="154" spans="6:9" x14ac:dyDescent="0.55000000000000004">
      <c r="F154" s="11"/>
      <c r="G154" s="8"/>
      <c r="I154" s="8"/>
    </row>
    <row r="155" spans="6:9" x14ac:dyDescent="0.55000000000000004">
      <c r="F155" s="11"/>
      <c r="G155" s="8"/>
      <c r="I155" s="8"/>
    </row>
    <row r="156" spans="6:9" x14ac:dyDescent="0.55000000000000004">
      <c r="F156" s="11"/>
      <c r="G156" s="8"/>
      <c r="I156" s="8"/>
    </row>
    <row r="157" spans="6:9" x14ac:dyDescent="0.55000000000000004">
      <c r="F157" s="11"/>
      <c r="G157" s="8"/>
      <c r="I157" s="8"/>
    </row>
    <row r="158" spans="6:9" x14ac:dyDescent="0.55000000000000004">
      <c r="F158" s="11"/>
      <c r="G158" s="8"/>
      <c r="I158" s="8"/>
    </row>
    <row r="159" spans="6:9" x14ac:dyDescent="0.55000000000000004">
      <c r="F159" s="11"/>
      <c r="G159" s="8"/>
      <c r="I159" s="8"/>
    </row>
    <row r="160" spans="6:9" x14ac:dyDescent="0.55000000000000004">
      <c r="F160" s="11"/>
      <c r="G160" s="8"/>
      <c r="I160" s="8"/>
    </row>
    <row r="161" spans="6:9" x14ac:dyDescent="0.55000000000000004">
      <c r="F161" s="11"/>
      <c r="G161" s="8"/>
      <c r="I161" s="8"/>
    </row>
    <row r="162" spans="6:9" x14ac:dyDescent="0.55000000000000004">
      <c r="F162" s="11"/>
      <c r="G162" s="8"/>
      <c r="I162" s="8"/>
    </row>
    <row r="163" spans="6:9" x14ac:dyDescent="0.55000000000000004">
      <c r="F163" s="11"/>
      <c r="G163" s="8"/>
      <c r="I163" s="8"/>
    </row>
    <row r="164" spans="6:9" x14ac:dyDescent="0.55000000000000004">
      <c r="F164" s="11"/>
      <c r="G164" s="8"/>
      <c r="I164" s="8"/>
    </row>
    <row r="165" spans="6:9" x14ac:dyDescent="0.55000000000000004">
      <c r="F165" s="11"/>
      <c r="G165" s="8"/>
    </row>
    <row r="166" spans="6:9" x14ac:dyDescent="0.55000000000000004">
      <c r="F166" s="11"/>
      <c r="G166" s="8"/>
    </row>
    <row r="167" spans="6:9" x14ac:dyDescent="0.55000000000000004">
      <c r="F167" s="11"/>
      <c r="G167" s="8"/>
    </row>
    <row r="168" spans="6:9" x14ac:dyDescent="0.55000000000000004">
      <c r="F168" s="11"/>
      <c r="G168" s="8"/>
    </row>
    <row r="169" spans="6:9" x14ac:dyDescent="0.55000000000000004">
      <c r="F169" s="11"/>
      <c r="G169" s="8"/>
    </row>
    <row r="170" spans="6:9" x14ac:dyDescent="0.55000000000000004">
      <c r="F170" s="11"/>
      <c r="G170" s="8"/>
    </row>
    <row r="171" spans="6:9" x14ac:dyDescent="0.55000000000000004">
      <c r="F171" s="11"/>
      <c r="G171" s="8"/>
    </row>
    <row r="172" spans="6:9" x14ac:dyDescent="0.55000000000000004">
      <c r="F172" s="11"/>
      <c r="G172" s="8"/>
    </row>
    <row r="173" spans="6:9" x14ac:dyDescent="0.55000000000000004">
      <c r="F173" s="11"/>
      <c r="G173" s="8"/>
    </row>
    <row r="174" spans="6:9" x14ac:dyDescent="0.55000000000000004">
      <c r="F174" s="11"/>
      <c r="G174" s="8"/>
    </row>
    <row r="175" spans="6:9" x14ac:dyDescent="0.55000000000000004">
      <c r="F175" s="11"/>
      <c r="G175" s="8"/>
    </row>
    <row r="176" spans="6:9" x14ac:dyDescent="0.55000000000000004">
      <c r="F176" s="11"/>
      <c r="G176" s="8"/>
    </row>
    <row r="177" spans="6:7" x14ac:dyDescent="0.55000000000000004">
      <c r="F177" s="11"/>
      <c r="G177" s="8"/>
    </row>
    <row r="178" spans="6:7" x14ac:dyDescent="0.55000000000000004">
      <c r="F178" s="11"/>
      <c r="G178" s="8"/>
    </row>
    <row r="179" spans="6:7" x14ac:dyDescent="0.55000000000000004">
      <c r="F179" s="11"/>
      <c r="G179" s="8"/>
    </row>
    <row r="180" spans="6:7" x14ac:dyDescent="0.55000000000000004">
      <c r="F180" s="11"/>
      <c r="G180" s="8"/>
    </row>
    <row r="181" spans="6:7" x14ac:dyDescent="0.55000000000000004">
      <c r="F181" s="11"/>
      <c r="G181" s="8"/>
    </row>
    <row r="182" spans="6:7" x14ac:dyDescent="0.55000000000000004">
      <c r="F182" s="11"/>
      <c r="G182" s="8"/>
    </row>
    <row r="183" spans="6:7" x14ac:dyDescent="0.55000000000000004">
      <c r="F183" s="11"/>
      <c r="G183" s="8"/>
    </row>
    <row r="184" spans="6:7" x14ac:dyDescent="0.55000000000000004">
      <c r="F184" s="11"/>
      <c r="G184" s="8"/>
    </row>
    <row r="185" spans="6:7" x14ac:dyDescent="0.55000000000000004">
      <c r="F185" s="11"/>
      <c r="G185" s="8"/>
    </row>
    <row r="186" spans="6:7" x14ac:dyDescent="0.55000000000000004">
      <c r="F186" s="11"/>
      <c r="G186" s="8"/>
    </row>
    <row r="187" spans="6:7" x14ac:dyDescent="0.55000000000000004">
      <c r="G187" s="8"/>
    </row>
    <row r="188" spans="6:7" x14ac:dyDescent="0.55000000000000004">
      <c r="G188" s="8"/>
    </row>
    <row r="189" spans="6:7" x14ac:dyDescent="0.55000000000000004">
      <c r="G189" s="8"/>
    </row>
    <row r="190" spans="6:7" x14ac:dyDescent="0.55000000000000004">
      <c r="G190" s="8"/>
    </row>
    <row r="191" spans="6:7" x14ac:dyDescent="0.55000000000000004">
      <c r="G191" s="8"/>
    </row>
    <row r="192" spans="6:7" x14ac:dyDescent="0.55000000000000004">
      <c r="G192" s="8"/>
    </row>
    <row r="193" spans="7:7" x14ac:dyDescent="0.55000000000000004">
      <c r="G193" s="8"/>
    </row>
    <row r="194" spans="7:7" x14ac:dyDescent="0.55000000000000004">
      <c r="G194" s="8"/>
    </row>
    <row r="195" spans="7:7" x14ac:dyDescent="0.55000000000000004">
      <c r="G195" s="8"/>
    </row>
    <row r="196" spans="7:7" x14ac:dyDescent="0.55000000000000004">
      <c r="G196" s="8"/>
    </row>
    <row r="197" spans="7:7" x14ac:dyDescent="0.55000000000000004">
      <c r="G197" s="8"/>
    </row>
    <row r="198" spans="7:7" x14ac:dyDescent="0.55000000000000004">
      <c r="G198" s="8"/>
    </row>
    <row r="199" spans="7:7" x14ac:dyDescent="0.55000000000000004">
      <c r="G199" s="8"/>
    </row>
    <row r="200" spans="7:7" x14ac:dyDescent="0.55000000000000004">
      <c r="G200" s="8"/>
    </row>
    <row r="201" spans="7:7" x14ac:dyDescent="0.55000000000000004">
      <c r="G201" s="8"/>
    </row>
    <row r="202" spans="7:7" x14ac:dyDescent="0.55000000000000004">
      <c r="G202" s="8"/>
    </row>
    <row r="203" spans="7:7" x14ac:dyDescent="0.55000000000000004">
      <c r="G203" s="8"/>
    </row>
    <row r="204" spans="7:7" x14ac:dyDescent="0.55000000000000004">
      <c r="G204" s="8"/>
    </row>
    <row r="205" spans="7:7" x14ac:dyDescent="0.55000000000000004">
      <c r="G205" s="8"/>
    </row>
    <row r="206" spans="7:7" x14ac:dyDescent="0.55000000000000004">
      <c r="G206" s="8"/>
    </row>
    <row r="207" spans="7:7" x14ac:dyDescent="0.55000000000000004">
      <c r="G207" s="8"/>
    </row>
    <row r="208" spans="7:7" x14ac:dyDescent="0.55000000000000004">
      <c r="G208" s="8"/>
    </row>
  </sheetData>
  <mergeCells count="3">
    <mergeCell ref="D8:E8"/>
    <mergeCell ref="F8:G8"/>
    <mergeCell ref="H8:I8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BB71-B012-4977-9B33-837498FF0B6A}">
  <dimension ref="B1:P208"/>
  <sheetViews>
    <sheetView workbookViewId="0">
      <selection activeCell="B7" sqref="B7"/>
    </sheetView>
  </sheetViews>
  <sheetFormatPr defaultRowHeight="18" x14ac:dyDescent="0.55000000000000004"/>
  <cols>
    <col min="1" max="1" width="3.578125" customWidth="1"/>
    <col min="2" max="2" width="9.89453125" bestFit="1" customWidth="1"/>
    <col min="7" max="7" width="11.68359375" bestFit="1" customWidth="1"/>
    <col min="10" max="10" width="10.20703125" bestFit="1" customWidth="1"/>
    <col min="13" max="13" width="11.68359375" bestFit="1" customWidth="1"/>
  </cols>
  <sheetData>
    <row r="1" spans="2:16" x14ac:dyDescent="0.55000000000000004">
      <c r="B1" s="18" cm="1">
        <f t="array" aca="1" ref="B1" ca="1">_xll.MONTE.COUNT()</f>
        <v>30423</v>
      </c>
    </row>
    <row r="2" spans="2:16" x14ac:dyDescent="0.55000000000000004">
      <c r="B2" s="4" t="s">
        <v>15</v>
      </c>
      <c r="C2">
        <v>0</v>
      </c>
      <c r="F2" s="4" t="s">
        <v>20</v>
      </c>
      <c r="G2" s="8" cm="1">
        <f t="array" ref="G2">_xll.OPTION.BLACK.PUT(f, sigma*SQRT(t), k)</f>
        <v>3.987761167674492</v>
      </c>
      <c r="I2" s="9" cm="1">
        <f t="array" ref="I2">_xll.OPTION.BLACK.PUT_DELTA(f, sigma*SQRT(t), k)</f>
        <v>-0.48006119416162751</v>
      </c>
      <c r="J2" s="9" cm="1">
        <f t="array" ref="J2">_xll.OPTION.BLACK.PUT(f+0.01, sigma*SQRT(t), k)</f>
        <v>3.9829625478526722</v>
      </c>
      <c r="K2" s="9" cm="1">
        <f t="array" ref="K2">_xll.OPTION.BLACK.PUT(f-0.01, sigma*SQRT(t), k)</f>
        <v>3.9925637719351386</v>
      </c>
      <c r="L2" s="9">
        <f>(J2-K2)/0.02</f>
        <v>-0.48006120412331654</v>
      </c>
      <c r="M2" s="10">
        <f>I2-L2</f>
        <v>9.9616890292253402E-9</v>
      </c>
    </row>
    <row r="3" spans="2:16" x14ac:dyDescent="0.55000000000000004">
      <c r="B3" s="4" t="s">
        <v>16</v>
      </c>
      <c r="C3">
        <v>100</v>
      </c>
      <c r="F3" s="4" t="s">
        <v>28</v>
      </c>
      <c r="G3" s="8" cm="1">
        <f t="array" aca="1" ref="G3" ca="1">_xlfn.TAKE(S_,-1)</f>
        <v>86.096052238557803</v>
      </c>
      <c r="N3" s="7">
        <v>1</v>
      </c>
      <c r="O3" s="7" cm="1">
        <f t="array" ref="O3:O5">ad(N3:N5)</f>
        <v>1</v>
      </c>
      <c r="P3" s="7" cm="1">
        <f t="array" ref="P3:P5">_xlfn.SCAN(0,_xlfn.ANCHORARRAY(O3),_xlfn.LAMBDA(_xlpm.a,_xlpm.b,_xlpm.a+_xlpm.b))</f>
        <v>1</v>
      </c>
    </row>
    <row r="4" spans="2:16" x14ac:dyDescent="0.55000000000000004">
      <c r="B4" s="4" t="s">
        <v>14</v>
      </c>
      <c r="C4">
        <v>0.2</v>
      </c>
      <c r="F4" s="4" t="s">
        <v>24</v>
      </c>
      <c r="G4" s="11">
        <f ca="1">MAX(k - last,0)</f>
        <v>13.903947761442197</v>
      </c>
      <c r="H4" s="11">
        <f t="array" aca="1" ref="H4:I4" ca="1">_xll.MONTE.STDEV(G4)</f>
        <v>3.9910715169122772</v>
      </c>
      <c r="I4" s="11">
        <f ca="1"/>
        <v>5.477247715942906</v>
      </c>
      <c r="M4">
        <v>1E-3</v>
      </c>
      <c r="N4" s="7">
        <v>2</v>
      </c>
      <c r="O4" s="7">
        <v>1</v>
      </c>
      <c r="P4" s="7">
        <v>2</v>
      </c>
    </row>
    <row r="5" spans="2:16" x14ac:dyDescent="0.55000000000000004">
      <c r="B5" s="4" t="s">
        <v>1</v>
      </c>
      <c r="C5">
        <v>0.25</v>
      </c>
      <c r="F5" s="4" t="s">
        <v>25</v>
      </c>
      <c r="G5" s="11" cm="1">
        <f t="array" aca="1" ref="G5" ca="1">_xlfn.TAKE(A,-1)</f>
        <v>-6.0750531706379434</v>
      </c>
      <c r="H5" s="11"/>
      <c r="I5" s="11"/>
      <c r="M5">
        <v>0.01</v>
      </c>
      <c r="N5" s="7">
        <v>3</v>
      </c>
      <c r="O5" s="7">
        <v>1</v>
      </c>
      <c r="P5" s="7">
        <v>3</v>
      </c>
    </row>
    <row r="6" spans="2:16" x14ac:dyDescent="0.55000000000000004">
      <c r="B6" s="4" t="s">
        <v>21</v>
      </c>
      <c r="C6">
        <f>1/250</f>
        <v>4.0000000000000001E-3</v>
      </c>
      <c r="F6" s="4" t="s">
        <v>29</v>
      </c>
      <c r="G6" s="11">
        <f ca="1">payoff-hedge</f>
        <v>19.97900093208014</v>
      </c>
      <c r="H6" s="8">
        <f t="array" aca="1" ref="H6:I6" ca="1">_xll.MONTE.STDEV(error)</f>
        <v>1.1384613596372654E-2</v>
      </c>
      <c r="I6" s="13">
        <f ca="1"/>
        <v>11.977489491704732</v>
      </c>
      <c r="J6" s="17">
        <f ca="1">I6/put</f>
        <v>3.0035623970654042</v>
      </c>
      <c r="K6" s="16" t="s">
        <v>30</v>
      </c>
      <c r="M6">
        <v>0.1</v>
      </c>
    </row>
    <row r="7" spans="2:16" x14ac:dyDescent="0.55000000000000004">
      <c r="B7" s="4" t="s">
        <v>17</v>
      </c>
      <c r="C7">
        <v>100</v>
      </c>
    </row>
    <row r="8" spans="2:16" x14ac:dyDescent="0.55000000000000004">
      <c r="D8" s="26" t="s">
        <v>0</v>
      </c>
      <c r="E8" s="26"/>
      <c r="F8" s="27" t="s">
        <v>10</v>
      </c>
      <c r="G8" s="27"/>
      <c r="H8" s="27" t="s">
        <v>13</v>
      </c>
      <c r="I8" s="27"/>
      <c r="J8" s="14" t="s">
        <v>11</v>
      </c>
      <c r="K8" s="3" t="s">
        <v>12</v>
      </c>
    </row>
    <row r="9" spans="2:16" x14ac:dyDescent="0.55000000000000004">
      <c r="B9" s="15" t="s">
        <v>22</v>
      </c>
      <c r="C9" s="15" t="s">
        <v>23</v>
      </c>
      <c r="D9" s="15" t="s">
        <v>18</v>
      </c>
      <c r="E9" s="15" t="s">
        <v>19</v>
      </c>
      <c r="F9" s="15" t="s">
        <v>4</v>
      </c>
      <c r="G9" s="15" t="s">
        <v>5</v>
      </c>
      <c r="H9" s="15" t="s">
        <v>26</v>
      </c>
      <c r="I9" s="15" t="s">
        <v>27</v>
      </c>
      <c r="J9" s="15" t="s">
        <v>8</v>
      </c>
      <c r="K9" s="15" t="s">
        <v>9</v>
      </c>
      <c r="L9" s="19" t="s">
        <v>31</v>
      </c>
    </row>
    <row r="10" spans="2:16" x14ac:dyDescent="0.55000000000000004">
      <c r="B10" cm="1">
        <f t="array" ref="B10:B72">_xll.ARRAY.SEQUENCE(0, t, dt)</f>
        <v>0</v>
      </c>
      <c r="C10" cm="1">
        <f t="array" aca="1" ref="C10:C72" ca="1">_xll.RANDOM.BROWNIAN(t_)</f>
        <v>0</v>
      </c>
      <c r="D10" cm="1">
        <f t="array" aca="1" ref="D10:D72" ca="1">1+0*B_</f>
        <v>1</v>
      </c>
      <c r="E10" cm="1">
        <f t="array" aca="1" ref="E10:E72" ca="1">f*EXP(sigma*B_+(mu-sigma*sigma/2)*t_)</f>
        <v>100</v>
      </c>
      <c r="F10" s="11" cm="1">
        <f t="array" aca="1" ref="F10:F72" ca="1">co(put*(t_ = 0) - N*S_/R_)</f>
        <v>-96.012238832325508</v>
      </c>
      <c r="G10" s="8" cm="1">
        <f t="array" aca="1" ref="G10:G72" ca="1">co(ad(_N))</f>
        <v>1</v>
      </c>
      <c r="H10" s="11" cm="1">
        <f t="array" aca="1" ref="H10:H72" ca="1">_xlfn.SCAN(0,M,_xlfn.LAMBDA(_xlpm.a,_xlpm.b,_xlpm.a+_xlpm.b))</f>
        <v>-96.012238832325508</v>
      </c>
      <c r="I10" s="8" cm="1">
        <f t="array" aca="1" ref="I10:I72" ca="1">1*(S_&lt;=k)</f>
        <v>1</v>
      </c>
      <c r="J10" s="8" cm="1">
        <f t="array" aca="1" ref="J10:J72" ca="1">_M * R_ + _N * S_</f>
        <v>3.987761167674492</v>
      </c>
      <c r="K10" cm="1">
        <f t="array" aca="1" ref="K10:K72" ca="1">-M * R_ - N * S_</f>
        <v>-3.987761167674492</v>
      </c>
      <c r="L10" cm="1">
        <f t="array" aca="1" ref="L10:L72" ca="1">_xlfn.MAP(S_,_xlfn.LAMBDA(_xlpm.s,MAX(k-_xlpm.s,0)))</f>
        <v>0</v>
      </c>
      <c r="M10" s="22">
        <f ca="1">put - G10*E10</f>
        <v>-96.012238832325508</v>
      </c>
      <c r="N10" s="22">
        <f ca="1">F10-M10</f>
        <v>0</v>
      </c>
    </row>
    <row r="11" spans="2:16" x14ac:dyDescent="0.55000000000000004">
      <c r="B11">
        <v>4.0000000000000001E-3</v>
      </c>
      <c r="C11">
        <f ca="1"/>
        <v>7.6313612401421163E-2</v>
      </c>
      <c r="D11">
        <f ca="1"/>
        <v>1</v>
      </c>
      <c r="E11" s="12">
        <f ca="1"/>
        <v>101.52985655397329</v>
      </c>
      <c r="F11" s="11">
        <f ca="1"/>
        <v>101.52985655397329</v>
      </c>
      <c r="G11" s="8">
        <f ca="1"/>
        <v>-1</v>
      </c>
      <c r="H11" s="11">
        <f ca="1"/>
        <v>5.5176177216477811</v>
      </c>
      <c r="I11" s="8">
        <f ca="1"/>
        <v>0</v>
      </c>
      <c r="J11" s="8">
        <f ca="1"/>
        <v>5.5176177216477811</v>
      </c>
      <c r="K11">
        <f ca="1"/>
        <v>0</v>
      </c>
      <c r="L11">
        <f ca="1"/>
        <v>0</v>
      </c>
      <c r="M11" s="22">
        <f ca="1" xml:space="preserve"> - G11*E11</f>
        <v>101.52985655397329</v>
      </c>
      <c r="N11" s="22">
        <f ca="1">F11-M11</f>
        <v>0</v>
      </c>
    </row>
    <row r="12" spans="2:16" x14ac:dyDescent="0.55000000000000004">
      <c r="B12">
        <v>8.0000000000000002E-3</v>
      </c>
      <c r="C12">
        <f ca="1"/>
        <v>-7.9193757865060332E-3</v>
      </c>
      <c r="D12">
        <f ca="1"/>
        <v>1</v>
      </c>
      <c r="E12" s="12">
        <f ca="1"/>
        <v>99.825764450948284</v>
      </c>
      <c r="F12" s="11">
        <f ca="1"/>
        <v>-99.825764450948284</v>
      </c>
      <c r="G12" s="8">
        <f ca="1"/>
        <v>1</v>
      </c>
      <c r="H12" s="11">
        <f ca="1"/>
        <v>-94.308146729300503</v>
      </c>
      <c r="I12" s="8">
        <f ca="1"/>
        <v>1</v>
      </c>
      <c r="J12" s="8">
        <f ca="1"/>
        <v>5.5176177216477811</v>
      </c>
      <c r="K12">
        <f ca="1"/>
        <v>0</v>
      </c>
      <c r="L12">
        <f ca="1"/>
        <v>0.17423554905171557</v>
      </c>
    </row>
    <row r="13" spans="2:16" x14ac:dyDescent="0.55000000000000004">
      <c r="B13">
        <v>1.2E-2</v>
      </c>
      <c r="C13">
        <f ca="1"/>
        <v>-3.6669109387069514E-2</v>
      </c>
      <c r="D13">
        <f ca="1"/>
        <v>1</v>
      </c>
      <c r="E13" s="12">
        <f ca="1"/>
        <v>99.245478723915411</v>
      </c>
      <c r="F13" s="11">
        <f ca="1"/>
        <v>0</v>
      </c>
      <c r="G13" s="8">
        <f ca="1"/>
        <v>0</v>
      </c>
      <c r="H13" s="11">
        <f ca="1"/>
        <v>-94.308146729300503</v>
      </c>
      <c r="I13" s="8">
        <f ca="1"/>
        <v>1</v>
      </c>
      <c r="J13" s="8">
        <f ca="1"/>
        <v>4.9373319946149081</v>
      </c>
      <c r="K13">
        <f ca="1"/>
        <v>0</v>
      </c>
      <c r="L13">
        <f ca="1"/>
        <v>0.75452127608458852</v>
      </c>
    </row>
    <row r="14" spans="2:16" x14ac:dyDescent="0.55000000000000004">
      <c r="B14">
        <v>1.6E-2</v>
      </c>
      <c r="C14">
        <f ca="1"/>
        <v>-0.1003255401829648</v>
      </c>
      <c r="D14">
        <f ca="1"/>
        <v>1</v>
      </c>
      <c r="E14" s="12">
        <f ca="1"/>
        <v>97.982126359662786</v>
      </c>
      <c r="F14" s="11">
        <f ca="1"/>
        <v>0</v>
      </c>
      <c r="G14" s="8">
        <f ca="1"/>
        <v>0</v>
      </c>
      <c r="H14" s="11">
        <f ca="1"/>
        <v>-94.308146729300503</v>
      </c>
      <c r="I14" s="8">
        <f ca="1"/>
        <v>1</v>
      </c>
      <c r="J14" s="8">
        <f ca="1"/>
        <v>3.6739796303622825</v>
      </c>
      <c r="K14">
        <f ca="1"/>
        <v>0</v>
      </c>
      <c r="L14">
        <f ca="1"/>
        <v>2.0178736403372142</v>
      </c>
      <c r="M14" s="22">
        <f ca="1">f*EXP(sigma*C14-sigma^2*B14/2)</f>
        <v>97.982126359662786</v>
      </c>
      <c r="N14" s="23">
        <f ca="1">E14-M14</f>
        <v>0</v>
      </c>
    </row>
    <row r="15" spans="2:16" x14ac:dyDescent="0.55000000000000004">
      <c r="B15">
        <v>0.02</v>
      </c>
      <c r="C15">
        <f ca="1"/>
        <v>-2.9050393242552569E-2</v>
      </c>
      <c r="D15">
        <f ca="1"/>
        <v>1</v>
      </c>
      <c r="E15" s="12">
        <f ca="1"/>
        <v>99.380916403643226</v>
      </c>
      <c r="F15" s="11">
        <f ca="1"/>
        <v>0</v>
      </c>
      <c r="G15" s="8">
        <f ca="1"/>
        <v>0</v>
      </c>
      <c r="H15" s="11">
        <f ca="1"/>
        <v>-94.308146729300503</v>
      </c>
      <c r="I15" s="8">
        <f ca="1"/>
        <v>1</v>
      </c>
      <c r="J15" s="8">
        <f ca="1"/>
        <v>5.0727696743427231</v>
      </c>
      <c r="K15">
        <f ca="1"/>
        <v>0</v>
      </c>
      <c r="L15">
        <f ca="1"/>
        <v>0.61908359635677357</v>
      </c>
    </row>
    <row r="16" spans="2:16" x14ac:dyDescent="0.55000000000000004">
      <c r="B16">
        <v>2.4E-2</v>
      </c>
      <c r="C16">
        <f ca="1"/>
        <v>-7.5248747822205496E-3</v>
      </c>
      <c r="D16">
        <f ca="1"/>
        <v>1</v>
      </c>
      <c r="E16" s="12">
        <f ca="1"/>
        <v>99.801699380348296</v>
      </c>
      <c r="F16" s="11">
        <f ca="1"/>
        <v>0</v>
      </c>
      <c r="G16" s="8">
        <f ca="1"/>
        <v>0</v>
      </c>
      <c r="H16" s="11">
        <f ca="1"/>
        <v>-94.308146729300503</v>
      </c>
      <c r="I16" s="8">
        <f ca="1"/>
        <v>1</v>
      </c>
      <c r="J16" s="8">
        <f ca="1"/>
        <v>5.4935526510477928</v>
      </c>
      <c r="K16">
        <f ca="1"/>
        <v>0</v>
      </c>
      <c r="L16">
        <f ca="1"/>
        <v>0.19830061965170387</v>
      </c>
      <c r="M16" s="22" cm="1">
        <f t="array" aca="1" ref="M16" ca="1">_xll.OPTION.BLACK.PUT_DELTA(E16,sigma*SQRT(t - B16),k)</f>
        <v>-0.48936453085623854</v>
      </c>
      <c r="N16" s="23">
        <f ca="1">I16-M16</f>
        <v>1.4893645308562387</v>
      </c>
    </row>
    <row r="17" spans="2:16" x14ac:dyDescent="0.55000000000000004">
      <c r="B17">
        <v>2.8000000000000001E-2</v>
      </c>
      <c r="C17">
        <f ca="1"/>
        <v>-6.7718696118700308E-2</v>
      </c>
      <c r="D17">
        <f ca="1"/>
        <v>1</v>
      </c>
      <c r="E17" s="12">
        <f ca="1"/>
        <v>98.599525257501</v>
      </c>
      <c r="F17" s="11">
        <f ca="1"/>
        <v>0</v>
      </c>
      <c r="G17" s="8">
        <f ca="1"/>
        <v>0</v>
      </c>
      <c r="H17" s="11">
        <f ca="1"/>
        <v>-94.308146729300503</v>
      </c>
      <c r="I17" s="8">
        <f ca="1"/>
        <v>1</v>
      </c>
      <c r="J17" s="8">
        <f ca="1"/>
        <v>4.2913785282004966</v>
      </c>
      <c r="K17">
        <f ca="1"/>
        <v>0</v>
      </c>
      <c r="L17">
        <f ca="1"/>
        <v>1.4004747424990001</v>
      </c>
    </row>
    <row r="18" spans="2:16" x14ac:dyDescent="0.55000000000000004">
      <c r="B18">
        <v>3.2000000000000001E-2</v>
      </c>
      <c r="C18">
        <f ca="1"/>
        <v>-0.14795811138683448</v>
      </c>
      <c r="D18">
        <f ca="1"/>
        <v>1</v>
      </c>
      <c r="E18" s="12">
        <f ca="1"/>
        <v>97.022078277361516</v>
      </c>
      <c r="F18" s="11">
        <f ca="1"/>
        <v>0</v>
      </c>
      <c r="G18" s="8">
        <f ca="1"/>
        <v>0</v>
      </c>
      <c r="H18" s="11">
        <f ca="1"/>
        <v>-94.308146729300503</v>
      </c>
      <c r="I18" s="8">
        <f ca="1"/>
        <v>1</v>
      </c>
      <c r="J18" s="8">
        <f ca="1"/>
        <v>2.7139315480610122</v>
      </c>
      <c r="K18">
        <f ca="1"/>
        <v>0</v>
      </c>
      <c r="L18">
        <f ca="1"/>
        <v>2.9779217226384844</v>
      </c>
    </row>
    <row r="19" spans="2:16" x14ac:dyDescent="0.55000000000000004">
      <c r="B19">
        <v>3.6000000000000004E-2</v>
      </c>
      <c r="C19">
        <f ca="1"/>
        <v>-0.12309814732047163</v>
      </c>
      <c r="D19">
        <f ca="1"/>
        <v>1</v>
      </c>
      <c r="E19" s="12">
        <f ca="1"/>
        <v>97.497872428932524</v>
      </c>
      <c r="F19" s="11">
        <f ca="1"/>
        <v>0</v>
      </c>
      <c r="G19" s="8">
        <f ca="1"/>
        <v>0</v>
      </c>
      <c r="H19" s="11">
        <f ca="1"/>
        <v>-94.308146729300503</v>
      </c>
      <c r="I19" s="8">
        <f ca="1"/>
        <v>1</v>
      </c>
      <c r="J19" s="8">
        <f ca="1"/>
        <v>3.1897256996320209</v>
      </c>
      <c r="K19">
        <f ca="1"/>
        <v>0</v>
      </c>
      <c r="L19">
        <f ca="1"/>
        <v>2.5021275710674757</v>
      </c>
    </row>
    <row r="20" spans="2:16" x14ac:dyDescent="0.55000000000000004">
      <c r="B20">
        <v>0.04</v>
      </c>
      <c r="C20">
        <f ca="1"/>
        <v>-0.16134882216504773</v>
      </c>
      <c r="D20">
        <f ca="1"/>
        <v>1</v>
      </c>
      <c r="E20" s="12">
        <f ca="1"/>
        <v>96.747106216449453</v>
      </c>
      <c r="F20" s="11">
        <f ca="1"/>
        <v>0</v>
      </c>
      <c r="G20" s="8">
        <f ca="1"/>
        <v>0</v>
      </c>
      <c r="H20" s="11">
        <f ca="1"/>
        <v>-94.308146729300503</v>
      </c>
      <c r="I20" s="8">
        <f ca="1"/>
        <v>1</v>
      </c>
      <c r="J20" s="8">
        <f ca="1"/>
        <v>2.4389594871489493</v>
      </c>
      <c r="K20">
        <f ca="1"/>
        <v>0</v>
      </c>
      <c r="L20">
        <f ca="1"/>
        <v>3.2528937835505474</v>
      </c>
      <c r="M20" s="7">
        <f t="array" aca="1" ref="M20:M21" ca="1">_xll.MONTE.STDEV(C20)</f>
        <v>1.8371037544200202E-3</v>
      </c>
      <c r="N20" s="7">
        <v>0</v>
      </c>
      <c r="O20" s="7">
        <f t="array" aca="1" ref="O20:O21" ca="1">_xll.MONTE.STDEV(E20)</f>
        <v>100.03623890021302</v>
      </c>
      <c r="P20" s="7">
        <f>f*EXP(mu*B20)</f>
        <v>100</v>
      </c>
    </row>
    <row r="21" spans="2:16" x14ac:dyDescent="0.55000000000000004">
      <c r="B21">
        <v>4.3999999999999997E-2</v>
      </c>
      <c r="C21">
        <f ca="1"/>
        <v>-0.10568963358868332</v>
      </c>
      <c r="D21">
        <f ca="1"/>
        <v>1</v>
      </c>
      <c r="E21" s="12">
        <f ca="1"/>
        <v>97.822269857182391</v>
      </c>
      <c r="F21" s="11">
        <f ca="1"/>
        <v>0</v>
      </c>
      <c r="G21" s="8">
        <f ca="1"/>
        <v>0</v>
      </c>
      <c r="H21" s="11">
        <f ca="1"/>
        <v>-94.308146729300503</v>
      </c>
      <c r="I21" s="8">
        <f ca="1"/>
        <v>1</v>
      </c>
      <c r="J21" s="8">
        <f ca="1"/>
        <v>3.5141231278818879</v>
      </c>
      <c r="K21">
        <f ca="1"/>
        <v>0</v>
      </c>
      <c r="L21">
        <f ca="1"/>
        <v>2.1777301428176088</v>
      </c>
      <c r="M21" s="7">
        <f ca="1"/>
        <v>0.19933976469065384</v>
      </c>
      <c r="N21" s="7">
        <f>SQRT(B20)</f>
        <v>0.2</v>
      </c>
      <c r="O21" s="7">
        <f ca="1"/>
        <v>3.9913633252644436</v>
      </c>
      <c r="P21" s="7"/>
    </row>
    <row r="22" spans="2:16" x14ac:dyDescent="0.55000000000000004">
      <c r="B22">
        <v>4.8000000000000001E-2</v>
      </c>
      <c r="C22">
        <f ca="1"/>
        <v>-0.16162022515137464</v>
      </c>
      <c r="D22">
        <f ca="1"/>
        <v>1</v>
      </c>
      <c r="E22" s="12">
        <f ca="1"/>
        <v>96.726377409715553</v>
      </c>
      <c r="F22" s="11">
        <f ca="1"/>
        <v>0</v>
      </c>
      <c r="G22" s="8">
        <f ca="1"/>
        <v>0</v>
      </c>
      <c r="H22" s="11">
        <f ca="1"/>
        <v>-94.308146729300503</v>
      </c>
      <c r="I22" s="8">
        <f ca="1"/>
        <v>1</v>
      </c>
      <c r="J22" s="8">
        <f ca="1"/>
        <v>2.41823068041505</v>
      </c>
      <c r="K22">
        <f ca="1"/>
        <v>0</v>
      </c>
      <c r="L22">
        <f ca="1"/>
        <v>3.2736225902844467</v>
      </c>
    </row>
    <row r="23" spans="2:16" x14ac:dyDescent="0.55000000000000004">
      <c r="B23">
        <v>5.2000000000000005E-2</v>
      </c>
      <c r="C23">
        <f ca="1"/>
        <v>-0.11431820583864011</v>
      </c>
      <c r="D23">
        <f ca="1"/>
        <v>1</v>
      </c>
      <c r="E23" s="12">
        <f ca="1"/>
        <v>97.637978804142932</v>
      </c>
      <c r="F23" s="11">
        <f ca="1"/>
        <v>0</v>
      </c>
      <c r="G23" s="8">
        <f ca="1"/>
        <v>0</v>
      </c>
      <c r="H23" s="11">
        <f ca="1"/>
        <v>-94.308146729300503</v>
      </c>
      <c r="I23" s="8">
        <f ca="1"/>
        <v>1</v>
      </c>
      <c r="J23" s="8">
        <f ca="1"/>
        <v>3.3298320748424288</v>
      </c>
      <c r="K23">
        <f ca="1"/>
        <v>0</v>
      </c>
      <c r="L23">
        <f ca="1"/>
        <v>2.3620211958570678</v>
      </c>
    </row>
    <row r="24" spans="2:16" x14ac:dyDescent="0.55000000000000004">
      <c r="B24">
        <v>5.6000000000000001E-2</v>
      </c>
      <c r="C24">
        <f ca="1"/>
        <v>-7.5210096106383517E-2</v>
      </c>
      <c r="D24">
        <f ca="1"/>
        <v>1</v>
      </c>
      <c r="E24" s="12">
        <f ca="1"/>
        <v>98.396788542933834</v>
      </c>
      <c r="F24" s="11">
        <f ca="1"/>
        <v>0</v>
      </c>
      <c r="G24" s="8">
        <f ca="1"/>
        <v>0</v>
      </c>
      <c r="H24" s="11">
        <f ca="1"/>
        <v>-94.308146729300503</v>
      </c>
      <c r="I24" s="8">
        <f ca="1"/>
        <v>1</v>
      </c>
      <c r="J24" s="8">
        <f ca="1"/>
        <v>4.0886418136333305</v>
      </c>
      <c r="K24">
        <f ca="1"/>
        <v>0</v>
      </c>
      <c r="L24">
        <f ca="1"/>
        <v>1.6032114570661662</v>
      </c>
    </row>
    <row r="25" spans="2:16" x14ac:dyDescent="0.55000000000000004">
      <c r="B25">
        <v>0.06</v>
      </c>
      <c r="C25">
        <f ca="1"/>
        <v>7.7832522407885935E-2</v>
      </c>
      <c r="D25">
        <f ca="1"/>
        <v>1</v>
      </c>
      <c r="E25" s="12">
        <f ca="1"/>
        <v>101.44701986864344</v>
      </c>
      <c r="F25" s="11">
        <f ca="1"/>
        <v>101.44701986864344</v>
      </c>
      <c r="G25" s="8">
        <f ca="1"/>
        <v>-1</v>
      </c>
      <c r="H25" s="11">
        <f ca="1"/>
        <v>7.1388731393429339</v>
      </c>
      <c r="I25" s="8">
        <f ca="1"/>
        <v>0</v>
      </c>
      <c r="J25" s="8">
        <f ca="1"/>
        <v>7.1388731393429339</v>
      </c>
      <c r="K25">
        <f ca="1"/>
        <v>0</v>
      </c>
      <c r="L25">
        <f ca="1"/>
        <v>0</v>
      </c>
    </row>
    <row r="26" spans="2:16" x14ac:dyDescent="0.55000000000000004">
      <c r="B26">
        <v>6.4000000000000001E-2</v>
      </c>
      <c r="C26">
        <f ca="1"/>
        <v>9.8509275712634334E-2</v>
      </c>
      <c r="D26">
        <f ca="1"/>
        <v>1</v>
      </c>
      <c r="E26" s="12">
        <f ca="1"/>
        <v>101.85925842870935</v>
      </c>
      <c r="F26" s="11">
        <f ca="1"/>
        <v>0</v>
      </c>
      <c r="G26" s="8">
        <f ca="1"/>
        <v>0</v>
      </c>
      <c r="H26" s="11">
        <f ca="1"/>
        <v>7.1388731393429339</v>
      </c>
      <c r="I26" s="8">
        <f ca="1"/>
        <v>0</v>
      </c>
      <c r="J26" s="8">
        <f ca="1"/>
        <v>7.1388731393429339</v>
      </c>
      <c r="K26">
        <f ca="1"/>
        <v>0</v>
      </c>
      <c r="L26">
        <f ca="1"/>
        <v>0</v>
      </c>
    </row>
    <row r="27" spans="2:16" x14ac:dyDescent="0.55000000000000004">
      <c r="B27">
        <v>6.8000000000000005E-2</v>
      </c>
      <c r="C27">
        <f ca="1"/>
        <v>9.3279914683090076E-2</v>
      </c>
      <c r="D27">
        <f ca="1"/>
        <v>1</v>
      </c>
      <c r="E27" s="12">
        <f ca="1"/>
        <v>101.7446424543071</v>
      </c>
      <c r="F27" s="11">
        <f ca="1"/>
        <v>0</v>
      </c>
      <c r="G27" s="8">
        <f ca="1"/>
        <v>0</v>
      </c>
      <c r="H27" s="11">
        <f ca="1"/>
        <v>7.1388731393429339</v>
      </c>
      <c r="I27" s="8">
        <f ca="1"/>
        <v>0</v>
      </c>
      <c r="J27" s="8">
        <f ca="1"/>
        <v>7.1388731393429339</v>
      </c>
      <c r="K27">
        <f ca="1"/>
        <v>0</v>
      </c>
      <c r="L27">
        <f ca="1"/>
        <v>0</v>
      </c>
    </row>
    <row r="28" spans="2:16" x14ac:dyDescent="0.55000000000000004">
      <c r="B28">
        <v>7.2000000000000008E-2</v>
      </c>
      <c r="C28">
        <f ca="1"/>
        <v>7.938094075644711E-2</v>
      </c>
      <c r="D28">
        <f ca="1"/>
        <v>1</v>
      </c>
      <c r="E28" s="12">
        <f ca="1"/>
        <v>101.45408931557891</v>
      </c>
      <c r="F28" s="11">
        <f ca="1"/>
        <v>0</v>
      </c>
      <c r="G28" s="8">
        <f ca="1"/>
        <v>0</v>
      </c>
      <c r="H28" s="11">
        <f ca="1"/>
        <v>7.1388731393429339</v>
      </c>
      <c r="I28" s="8">
        <f ca="1"/>
        <v>0</v>
      </c>
      <c r="J28" s="8">
        <f ca="1"/>
        <v>7.1388731393429339</v>
      </c>
      <c r="K28">
        <f ca="1"/>
        <v>0</v>
      </c>
      <c r="L28">
        <f ca="1"/>
        <v>0</v>
      </c>
    </row>
    <row r="29" spans="2:16" x14ac:dyDescent="0.55000000000000004">
      <c r="B29">
        <v>7.5999999999999998E-2</v>
      </c>
      <c r="C29">
        <f ca="1"/>
        <v>-2.7020655389477746E-2</v>
      </c>
      <c r="D29">
        <f ca="1"/>
        <v>1</v>
      </c>
      <c r="E29" s="12">
        <f ca="1"/>
        <v>99.30997854853868</v>
      </c>
      <c r="F29" s="11">
        <f ca="1"/>
        <v>-99.30997854853868</v>
      </c>
      <c r="G29" s="8">
        <f ca="1"/>
        <v>1</v>
      </c>
      <c r="H29" s="11">
        <f ca="1"/>
        <v>-92.171105409195746</v>
      </c>
      <c r="I29" s="8">
        <f ca="1"/>
        <v>1</v>
      </c>
      <c r="J29" s="8">
        <f ca="1"/>
        <v>7.1388731393429339</v>
      </c>
      <c r="K29">
        <f ca="1"/>
        <v>0</v>
      </c>
      <c r="L29">
        <f ca="1"/>
        <v>0.69002145146131966</v>
      </c>
    </row>
    <row r="30" spans="2:16" x14ac:dyDescent="0.55000000000000004">
      <c r="B30">
        <v>0.08</v>
      </c>
      <c r="C30">
        <f ca="1"/>
        <v>-1.6955708830669429E-3</v>
      </c>
      <c r="D30">
        <f ca="1"/>
        <v>1</v>
      </c>
      <c r="E30" s="12">
        <f ca="1"/>
        <v>99.806276469063931</v>
      </c>
      <c r="F30" s="11">
        <f ca="1"/>
        <v>0</v>
      </c>
      <c r="G30" s="8">
        <f ca="1"/>
        <v>0</v>
      </c>
      <c r="H30" s="11">
        <f ca="1"/>
        <v>-92.171105409195746</v>
      </c>
      <c r="I30" s="8">
        <f ca="1"/>
        <v>1</v>
      </c>
      <c r="J30" s="8">
        <f ca="1"/>
        <v>7.6351710598681848</v>
      </c>
      <c r="K30">
        <f ca="1"/>
        <v>0</v>
      </c>
      <c r="L30">
        <f ca="1"/>
        <v>0.19372353093606876</v>
      </c>
    </row>
    <row r="31" spans="2:16" x14ac:dyDescent="0.55000000000000004">
      <c r="B31">
        <v>8.4000000000000005E-2</v>
      </c>
      <c r="C31">
        <f ca="1"/>
        <v>-2.9127633388265534E-2</v>
      </c>
      <c r="D31">
        <f ca="1"/>
        <v>1</v>
      </c>
      <c r="E31" s="12">
        <f ca="1"/>
        <v>99.252256945167574</v>
      </c>
      <c r="F31" s="11">
        <f ca="1"/>
        <v>0</v>
      </c>
      <c r="G31" s="8">
        <f ca="1"/>
        <v>0</v>
      </c>
      <c r="H31" s="11">
        <f ca="1"/>
        <v>-92.171105409195746</v>
      </c>
      <c r="I31" s="8">
        <f ca="1"/>
        <v>1</v>
      </c>
      <c r="J31" s="8">
        <f ca="1"/>
        <v>7.0811515359718271</v>
      </c>
      <c r="K31">
        <f ca="1"/>
        <v>0</v>
      </c>
      <c r="L31">
        <f ca="1"/>
        <v>0.74774305483242642</v>
      </c>
    </row>
    <row r="32" spans="2:16" x14ac:dyDescent="0.55000000000000004">
      <c r="B32">
        <v>8.7999999999999995E-2</v>
      </c>
      <c r="C32">
        <f ca="1"/>
        <v>-0.102864745044508</v>
      </c>
      <c r="D32">
        <f ca="1"/>
        <v>1</v>
      </c>
      <c r="E32" s="12">
        <f ca="1"/>
        <v>97.791458514989642</v>
      </c>
      <c r="F32" s="11">
        <f ca="1"/>
        <v>0</v>
      </c>
      <c r="G32" s="8">
        <f ca="1"/>
        <v>0</v>
      </c>
      <c r="H32" s="11">
        <f ca="1"/>
        <v>-92.171105409195746</v>
      </c>
      <c r="I32" s="8">
        <f ca="1"/>
        <v>1</v>
      </c>
      <c r="J32" s="8">
        <f ca="1"/>
        <v>5.620353105793896</v>
      </c>
      <c r="K32">
        <f ca="1"/>
        <v>0</v>
      </c>
      <c r="L32">
        <f ca="1"/>
        <v>2.2085414850103575</v>
      </c>
    </row>
    <row r="33" spans="2:12" x14ac:dyDescent="0.55000000000000004">
      <c r="B33">
        <v>9.1999999999999998E-2</v>
      </c>
      <c r="C33">
        <f ca="1"/>
        <v>-9.4050731937078524E-2</v>
      </c>
      <c r="D33">
        <f ca="1"/>
        <v>1</v>
      </c>
      <c r="E33" s="12">
        <f ca="1"/>
        <v>97.956160779571562</v>
      </c>
      <c r="F33" s="11">
        <f ca="1"/>
        <v>0</v>
      </c>
      <c r="G33" s="8">
        <f ca="1"/>
        <v>0</v>
      </c>
      <c r="H33" s="11">
        <f ca="1"/>
        <v>-92.171105409195746</v>
      </c>
      <c r="I33" s="8">
        <f ca="1"/>
        <v>1</v>
      </c>
      <c r="J33" s="8">
        <f ca="1"/>
        <v>5.7850553703758152</v>
      </c>
      <c r="K33">
        <f ca="1"/>
        <v>0</v>
      </c>
      <c r="L33">
        <f ca="1"/>
        <v>2.0438392204284384</v>
      </c>
    </row>
    <row r="34" spans="2:12" x14ac:dyDescent="0.55000000000000004">
      <c r="B34">
        <v>9.6000000000000002E-2</v>
      </c>
      <c r="C34">
        <f ca="1"/>
        <v>-0.14710162446511685</v>
      </c>
      <c r="D34">
        <f ca="1"/>
        <v>1</v>
      </c>
      <c r="E34" s="12">
        <f ca="1"/>
        <v>96.91456925417927</v>
      </c>
      <c r="F34" s="11">
        <f ca="1"/>
        <v>0</v>
      </c>
      <c r="G34" s="8">
        <f ca="1"/>
        <v>0</v>
      </c>
      <c r="H34" s="11">
        <f ca="1"/>
        <v>-92.171105409195746</v>
      </c>
      <c r="I34" s="8">
        <f ca="1"/>
        <v>1</v>
      </c>
      <c r="J34" s="8">
        <f ca="1"/>
        <v>4.7434638449835234</v>
      </c>
      <c r="K34">
        <f ca="1"/>
        <v>0</v>
      </c>
      <c r="L34">
        <f ca="1"/>
        <v>3.0854307458207302</v>
      </c>
    </row>
    <row r="35" spans="2:12" x14ac:dyDescent="0.55000000000000004">
      <c r="B35">
        <v>0.1</v>
      </c>
      <c r="C35">
        <f ca="1"/>
        <v>-0.3503704902179523</v>
      </c>
      <c r="D35">
        <f ca="1"/>
        <v>1</v>
      </c>
      <c r="E35" s="12">
        <f ca="1"/>
        <v>93.046194784681177</v>
      </c>
      <c r="F35" s="11">
        <f ca="1"/>
        <v>0</v>
      </c>
      <c r="G35" s="8">
        <f ca="1"/>
        <v>0</v>
      </c>
      <c r="H35" s="11">
        <f ca="1"/>
        <v>-92.171105409195746</v>
      </c>
      <c r="I35" s="8">
        <f ca="1"/>
        <v>1</v>
      </c>
      <c r="J35" s="8">
        <f ca="1"/>
        <v>0.87508937548543031</v>
      </c>
      <c r="K35">
        <f ca="1"/>
        <v>0</v>
      </c>
      <c r="L35">
        <f ca="1"/>
        <v>6.9538052153188232</v>
      </c>
    </row>
    <row r="36" spans="2:12" x14ac:dyDescent="0.55000000000000004">
      <c r="B36">
        <v>0.10400000000000001</v>
      </c>
      <c r="C36">
        <f ca="1"/>
        <v>-0.34516381720880795</v>
      </c>
      <c r="D36">
        <f ca="1"/>
        <v>1</v>
      </c>
      <c r="E36" s="12">
        <f ca="1"/>
        <v>93.135686320058895</v>
      </c>
      <c r="F36" s="11">
        <f ca="1"/>
        <v>0</v>
      </c>
      <c r="G36" s="8">
        <f ca="1"/>
        <v>0</v>
      </c>
      <c r="H36" s="11">
        <f ca="1"/>
        <v>-92.171105409195746</v>
      </c>
      <c r="I36" s="8">
        <f ca="1"/>
        <v>1</v>
      </c>
      <c r="J36" s="8">
        <f ca="1"/>
        <v>0.96458091086314823</v>
      </c>
      <c r="K36">
        <f ca="1"/>
        <v>0</v>
      </c>
      <c r="L36">
        <f ca="1"/>
        <v>6.8643136799411053</v>
      </c>
    </row>
    <row r="37" spans="2:12" x14ac:dyDescent="0.55000000000000004">
      <c r="B37">
        <v>0.108</v>
      </c>
      <c r="C37">
        <f ca="1"/>
        <v>-0.39966176938465636</v>
      </c>
      <c r="D37">
        <f ca="1"/>
        <v>1</v>
      </c>
      <c r="E37" s="12">
        <f ca="1"/>
        <v>92.11868795880082</v>
      </c>
      <c r="F37" s="11">
        <f ca="1"/>
        <v>0</v>
      </c>
      <c r="G37" s="8">
        <f ca="1"/>
        <v>0</v>
      </c>
      <c r="H37" s="11">
        <f ca="1"/>
        <v>-92.171105409195746</v>
      </c>
      <c r="I37" s="8">
        <f ca="1"/>
        <v>1</v>
      </c>
      <c r="J37" s="8">
        <f ca="1"/>
        <v>-5.2417450394926846E-2</v>
      </c>
      <c r="K37">
        <f ca="1"/>
        <v>0</v>
      </c>
      <c r="L37">
        <f ca="1"/>
        <v>7.8813120411991804</v>
      </c>
    </row>
    <row r="38" spans="2:12" x14ac:dyDescent="0.55000000000000004">
      <c r="B38">
        <v>0.112</v>
      </c>
      <c r="C38">
        <f ca="1"/>
        <v>-0.36457265340772821</v>
      </c>
      <c r="D38">
        <f ca="1"/>
        <v>1</v>
      </c>
      <c r="E38" s="12">
        <f ca="1"/>
        <v>92.76001325718731</v>
      </c>
      <c r="F38" s="11">
        <f ca="1"/>
        <v>0</v>
      </c>
      <c r="G38" s="8">
        <f ca="1"/>
        <v>0</v>
      </c>
      <c r="H38" s="11">
        <f ca="1"/>
        <v>-92.171105409195746</v>
      </c>
      <c r="I38" s="8">
        <f ca="1"/>
        <v>1</v>
      </c>
      <c r="J38" s="8">
        <f ca="1"/>
        <v>0.58890784799156393</v>
      </c>
      <c r="K38">
        <f ca="1"/>
        <v>0</v>
      </c>
      <c r="L38">
        <f ca="1"/>
        <v>7.2399867428126896</v>
      </c>
    </row>
    <row r="39" spans="2:12" x14ac:dyDescent="0.55000000000000004">
      <c r="B39">
        <v>0.11600000000000001</v>
      </c>
      <c r="C39">
        <f ca="1"/>
        <v>-0.3140097179624004</v>
      </c>
      <c r="D39">
        <f ca="1"/>
        <v>1</v>
      </c>
      <c r="E39" s="12">
        <f ca="1"/>
        <v>93.695320097144872</v>
      </c>
      <c r="F39" s="11">
        <f ca="1"/>
        <v>0</v>
      </c>
      <c r="G39" s="8">
        <f ca="1"/>
        <v>0</v>
      </c>
      <c r="H39" s="11">
        <f ca="1"/>
        <v>-92.171105409195746</v>
      </c>
      <c r="I39" s="8">
        <f ca="1"/>
        <v>1</v>
      </c>
      <c r="J39" s="8">
        <f ca="1"/>
        <v>1.5242146879491258</v>
      </c>
      <c r="K39">
        <f ca="1"/>
        <v>0</v>
      </c>
      <c r="L39">
        <f ca="1"/>
        <v>6.3046799028551277</v>
      </c>
    </row>
    <row r="40" spans="2:12" x14ac:dyDescent="0.55000000000000004">
      <c r="B40">
        <v>0.12</v>
      </c>
      <c r="C40">
        <f ca="1"/>
        <v>-0.36754663685648409</v>
      </c>
      <c r="D40">
        <f ca="1"/>
        <v>1</v>
      </c>
      <c r="E40" s="12">
        <f ca="1"/>
        <v>92.690024723119251</v>
      </c>
      <c r="F40" s="11">
        <f ca="1"/>
        <v>0</v>
      </c>
      <c r="G40" s="8">
        <f ca="1"/>
        <v>0</v>
      </c>
      <c r="H40" s="11">
        <f ca="1"/>
        <v>-92.171105409195746</v>
      </c>
      <c r="I40" s="8">
        <f ca="1"/>
        <v>1</v>
      </c>
      <c r="J40" s="8">
        <f ca="1"/>
        <v>0.51891931392350443</v>
      </c>
      <c r="K40">
        <f ca="1"/>
        <v>0</v>
      </c>
      <c r="L40">
        <f ca="1"/>
        <v>7.3099752768807491</v>
      </c>
    </row>
    <row r="41" spans="2:12" x14ac:dyDescent="0.55000000000000004">
      <c r="B41">
        <v>0.124</v>
      </c>
      <c r="C41">
        <f ca="1"/>
        <v>-0.39995765482032092</v>
      </c>
      <c r="D41">
        <f ca="1"/>
        <v>1</v>
      </c>
      <c r="E41" s="12">
        <f ca="1"/>
        <v>92.083765284387496</v>
      </c>
      <c r="F41" s="11">
        <f ca="1"/>
        <v>0</v>
      </c>
      <c r="G41" s="8">
        <f ca="1"/>
        <v>0</v>
      </c>
      <c r="H41" s="11">
        <f ca="1"/>
        <v>-92.171105409195746</v>
      </c>
      <c r="I41" s="8">
        <f ca="1"/>
        <v>1</v>
      </c>
      <c r="J41" s="8">
        <f ca="1"/>
        <v>-8.7340124808250152E-2</v>
      </c>
      <c r="K41">
        <f ca="1"/>
        <v>0</v>
      </c>
      <c r="L41">
        <f ca="1"/>
        <v>7.9162347156125037</v>
      </c>
    </row>
    <row r="42" spans="2:12" x14ac:dyDescent="0.55000000000000004">
      <c r="B42">
        <v>0.128</v>
      </c>
      <c r="C42">
        <f ca="1"/>
        <v>-0.3779165166407405</v>
      </c>
      <c r="D42">
        <f ca="1"/>
        <v>1</v>
      </c>
      <c r="E42" s="12">
        <f ca="1"/>
        <v>92.48318855598059</v>
      </c>
      <c r="F42" s="11">
        <f ca="1"/>
        <v>0</v>
      </c>
      <c r="G42" s="8">
        <f ca="1"/>
        <v>0</v>
      </c>
      <c r="H42" s="11">
        <f ca="1"/>
        <v>-92.171105409195746</v>
      </c>
      <c r="I42" s="8">
        <f ca="1"/>
        <v>1</v>
      </c>
      <c r="J42" s="8">
        <f ca="1"/>
        <v>0.31208314678484328</v>
      </c>
      <c r="K42">
        <f ca="1"/>
        <v>0</v>
      </c>
      <c r="L42">
        <f ca="1"/>
        <v>7.5168114440194103</v>
      </c>
    </row>
    <row r="43" spans="2:12" x14ac:dyDescent="0.55000000000000004">
      <c r="B43">
        <v>0.13200000000000001</v>
      </c>
      <c r="C43">
        <f ca="1"/>
        <v>-0.37101986038157347</v>
      </c>
      <c r="D43">
        <f ca="1"/>
        <v>1</v>
      </c>
      <c r="E43" s="12">
        <f ca="1"/>
        <v>92.60343295487624</v>
      </c>
      <c r="F43" s="11">
        <f ca="1"/>
        <v>0</v>
      </c>
      <c r="G43" s="8">
        <f ca="1"/>
        <v>0</v>
      </c>
      <c r="H43" s="11">
        <f ca="1"/>
        <v>-92.171105409195746</v>
      </c>
      <c r="I43" s="8">
        <f ca="1"/>
        <v>1</v>
      </c>
      <c r="J43" s="8">
        <f ca="1"/>
        <v>0.43232754568049359</v>
      </c>
      <c r="K43">
        <f ca="1"/>
        <v>0</v>
      </c>
      <c r="L43">
        <f ca="1"/>
        <v>7.39656704512376</v>
      </c>
    </row>
    <row r="44" spans="2:12" x14ac:dyDescent="0.55000000000000004">
      <c r="B44">
        <v>0.13600000000000001</v>
      </c>
      <c r="C44">
        <f ca="1"/>
        <v>-0.42740931419957728</v>
      </c>
      <c r="D44">
        <f ca="1"/>
        <v>1</v>
      </c>
      <c r="E44" s="12">
        <f ca="1"/>
        <v>91.557603728880096</v>
      </c>
      <c r="F44" s="11">
        <f ca="1"/>
        <v>0</v>
      </c>
      <c r="G44" s="8">
        <f ca="1"/>
        <v>0</v>
      </c>
      <c r="H44" s="11">
        <f ca="1"/>
        <v>-92.171105409195746</v>
      </c>
      <c r="I44" s="8">
        <f ca="1"/>
        <v>1</v>
      </c>
      <c r="J44" s="8">
        <f ca="1"/>
        <v>-0.61350168031565033</v>
      </c>
      <c r="K44">
        <f ca="1"/>
        <v>0</v>
      </c>
      <c r="L44">
        <f ca="1"/>
        <v>8.4423962711199039</v>
      </c>
    </row>
    <row r="45" spans="2:12" x14ac:dyDescent="0.55000000000000004">
      <c r="B45">
        <v>0.14000000000000001</v>
      </c>
      <c r="C45">
        <f ca="1"/>
        <v>-0.46785062473625533</v>
      </c>
      <c r="D45">
        <f ca="1"/>
        <v>1</v>
      </c>
      <c r="E45" s="12">
        <f ca="1"/>
        <v>90.812783309137046</v>
      </c>
      <c r="F45" s="11">
        <f ca="1"/>
        <v>0</v>
      </c>
      <c r="G45" s="8">
        <f ca="1"/>
        <v>0</v>
      </c>
      <c r="H45" s="11">
        <f ca="1"/>
        <v>-92.171105409195746</v>
      </c>
      <c r="I45" s="8">
        <f ca="1"/>
        <v>1</v>
      </c>
      <c r="J45" s="8">
        <f ca="1"/>
        <v>-1.3583221000587002</v>
      </c>
      <c r="K45">
        <f ca="1"/>
        <v>0</v>
      </c>
      <c r="L45">
        <f ca="1"/>
        <v>9.1872166908629538</v>
      </c>
    </row>
    <row r="46" spans="2:12" x14ac:dyDescent="0.55000000000000004">
      <c r="B46">
        <v>0.14400000000000002</v>
      </c>
      <c r="C46">
        <f ca="1"/>
        <v>-0.62390302034793121</v>
      </c>
      <c r="D46">
        <f ca="1"/>
        <v>1</v>
      </c>
      <c r="E46" s="12">
        <f ca="1"/>
        <v>88.015204848159811</v>
      </c>
      <c r="F46" s="11">
        <f ca="1"/>
        <v>0</v>
      </c>
      <c r="G46" s="8">
        <f ca="1"/>
        <v>0</v>
      </c>
      <c r="H46" s="11">
        <f ca="1"/>
        <v>-92.171105409195746</v>
      </c>
      <c r="I46" s="8">
        <f ca="1"/>
        <v>1</v>
      </c>
      <c r="J46" s="8">
        <f ca="1"/>
        <v>-4.155900561035935</v>
      </c>
      <c r="K46">
        <f ca="1"/>
        <v>0</v>
      </c>
      <c r="L46">
        <f ca="1"/>
        <v>11.984795151840189</v>
      </c>
    </row>
    <row r="47" spans="2:12" x14ac:dyDescent="0.55000000000000004">
      <c r="B47">
        <v>0.14799999999999999</v>
      </c>
      <c r="C47">
        <f ca="1"/>
        <v>-0.72276746565514227</v>
      </c>
      <c r="D47">
        <f ca="1"/>
        <v>1</v>
      </c>
      <c r="E47" s="12">
        <f ca="1"/>
        <v>86.285079568398359</v>
      </c>
      <c r="F47" s="11">
        <f ca="1"/>
        <v>0</v>
      </c>
      <c r="G47" s="8">
        <f ca="1"/>
        <v>0</v>
      </c>
      <c r="H47" s="11">
        <f ca="1"/>
        <v>-92.171105409195746</v>
      </c>
      <c r="I47" s="8">
        <f ca="1"/>
        <v>1</v>
      </c>
      <c r="J47" s="8">
        <f ca="1"/>
        <v>-5.8860258407973873</v>
      </c>
      <c r="K47">
        <f ca="1"/>
        <v>0</v>
      </c>
      <c r="L47">
        <f ca="1"/>
        <v>13.714920431601641</v>
      </c>
    </row>
    <row r="48" spans="2:12" x14ac:dyDescent="0.55000000000000004">
      <c r="B48">
        <v>0.152</v>
      </c>
      <c r="C48">
        <f ca="1"/>
        <v>-0.78945231275215721</v>
      </c>
      <c r="D48">
        <f ca="1"/>
        <v>1</v>
      </c>
      <c r="E48" s="12">
        <f ca="1"/>
        <v>85.135126984485467</v>
      </c>
      <c r="F48" s="11">
        <f ca="1"/>
        <v>0</v>
      </c>
      <c r="G48" s="8">
        <f ca="1"/>
        <v>0</v>
      </c>
      <c r="H48" s="11">
        <f ca="1"/>
        <v>-92.171105409195746</v>
      </c>
      <c r="I48" s="8">
        <f ca="1"/>
        <v>1</v>
      </c>
      <c r="J48" s="8">
        <f ca="1"/>
        <v>-7.0359784247102795</v>
      </c>
      <c r="K48">
        <f ca="1"/>
        <v>0</v>
      </c>
      <c r="L48">
        <f ca="1"/>
        <v>14.864873015514533</v>
      </c>
    </row>
    <row r="49" spans="2:12" x14ac:dyDescent="0.55000000000000004">
      <c r="B49">
        <v>0.156</v>
      </c>
      <c r="C49">
        <f ca="1"/>
        <v>-0.81063227590324538</v>
      </c>
      <c r="D49">
        <f ca="1"/>
        <v>1</v>
      </c>
      <c r="E49" s="12">
        <f ca="1"/>
        <v>84.76847620403862</v>
      </c>
      <c r="F49" s="11">
        <f ca="1"/>
        <v>0</v>
      </c>
      <c r="G49" s="8">
        <f ca="1"/>
        <v>0</v>
      </c>
      <c r="H49" s="11">
        <f ca="1"/>
        <v>-92.171105409195746</v>
      </c>
      <c r="I49" s="8">
        <f ca="1"/>
        <v>1</v>
      </c>
      <c r="J49" s="8">
        <f ca="1"/>
        <v>-7.4026292051571261</v>
      </c>
      <c r="K49">
        <f ca="1"/>
        <v>0</v>
      </c>
      <c r="L49">
        <f ca="1"/>
        <v>15.23152379596138</v>
      </c>
    </row>
    <row r="50" spans="2:12" x14ac:dyDescent="0.55000000000000004">
      <c r="B50">
        <v>0.16</v>
      </c>
      <c r="C50">
        <f ca="1"/>
        <v>-0.89978183579052617</v>
      </c>
      <c r="D50">
        <f ca="1"/>
        <v>1</v>
      </c>
      <c r="E50" s="12">
        <f ca="1"/>
        <v>83.263794832756432</v>
      </c>
      <c r="F50" s="11">
        <f ca="1"/>
        <v>0</v>
      </c>
      <c r="G50" s="8">
        <f ca="1"/>
        <v>0</v>
      </c>
      <c r="H50" s="11">
        <f ca="1"/>
        <v>-92.171105409195746</v>
      </c>
      <c r="I50" s="8">
        <f ca="1"/>
        <v>1</v>
      </c>
      <c r="J50" s="8">
        <f ca="1"/>
        <v>-8.9073105764393148</v>
      </c>
      <c r="K50">
        <f ca="1"/>
        <v>0</v>
      </c>
      <c r="L50">
        <f ca="1"/>
        <v>16.736205167243568</v>
      </c>
    </row>
    <row r="51" spans="2:12" x14ac:dyDescent="0.55000000000000004">
      <c r="B51">
        <v>0.16400000000000001</v>
      </c>
      <c r="C51">
        <f ca="1"/>
        <v>-0.95212029034014989</v>
      </c>
      <c r="D51">
        <f ca="1"/>
        <v>1</v>
      </c>
      <c r="E51" s="12">
        <f ca="1"/>
        <v>82.390169525225659</v>
      </c>
      <c r="F51" s="11">
        <f ca="1"/>
        <v>0</v>
      </c>
      <c r="G51" s="8">
        <f ca="1"/>
        <v>0</v>
      </c>
      <c r="H51" s="11">
        <f ca="1"/>
        <v>-92.171105409195746</v>
      </c>
      <c r="I51" s="8">
        <f ca="1"/>
        <v>1</v>
      </c>
      <c r="J51" s="8">
        <f ca="1"/>
        <v>-9.7809358839700877</v>
      </c>
      <c r="K51">
        <f ca="1"/>
        <v>0</v>
      </c>
      <c r="L51">
        <f ca="1"/>
        <v>17.609830474774341</v>
      </c>
    </row>
    <row r="52" spans="2:12" x14ac:dyDescent="0.55000000000000004">
      <c r="B52">
        <v>0.16800000000000001</v>
      </c>
      <c r="C52">
        <f ca="1"/>
        <v>-0.91008517638769437</v>
      </c>
      <c r="D52">
        <f ca="1"/>
        <v>1</v>
      </c>
      <c r="E52" s="12">
        <f ca="1"/>
        <v>83.07909872834405</v>
      </c>
      <c r="F52" s="11">
        <f ca="1"/>
        <v>0</v>
      </c>
      <c r="G52" s="8">
        <f ca="1"/>
        <v>0</v>
      </c>
      <c r="H52" s="11">
        <f ca="1"/>
        <v>-92.171105409195746</v>
      </c>
      <c r="I52" s="8">
        <f ca="1"/>
        <v>1</v>
      </c>
      <c r="J52" s="8">
        <f ca="1"/>
        <v>-9.0920066808516964</v>
      </c>
      <c r="K52">
        <f ca="1"/>
        <v>0</v>
      </c>
      <c r="L52">
        <f ca="1"/>
        <v>16.92090127165595</v>
      </c>
    </row>
    <row r="53" spans="2:12" x14ac:dyDescent="0.55000000000000004">
      <c r="B53">
        <v>0.17200000000000001</v>
      </c>
      <c r="C53">
        <f ca="1"/>
        <v>-0.84514979155801528</v>
      </c>
      <c r="D53">
        <f ca="1"/>
        <v>1</v>
      </c>
      <c r="E53" s="12">
        <f ca="1"/>
        <v>84.158357102341185</v>
      </c>
      <c r="F53" s="11">
        <f ca="1"/>
        <v>0</v>
      </c>
      <c r="G53" s="8">
        <f ca="1"/>
        <v>0</v>
      </c>
      <c r="H53" s="11">
        <f ca="1"/>
        <v>-92.171105409195746</v>
      </c>
      <c r="I53" s="8">
        <f ca="1"/>
        <v>1</v>
      </c>
      <c r="J53" s="8">
        <f ca="1"/>
        <v>-8.0127483068545615</v>
      </c>
      <c r="K53">
        <f ca="1"/>
        <v>0</v>
      </c>
      <c r="L53">
        <f ca="1"/>
        <v>15.841642897658815</v>
      </c>
    </row>
    <row r="54" spans="2:12" x14ac:dyDescent="0.55000000000000004">
      <c r="B54">
        <v>0.17599999999999999</v>
      </c>
      <c r="C54">
        <f ca="1"/>
        <v>-0.80954165596010585</v>
      </c>
      <c r="D54">
        <f ca="1"/>
        <v>1</v>
      </c>
      <c r="E54" s="12">
        <f ca="1"/>
        <v>84.753060253634828</v>
      </c>
      <c r="F54" s="11">
        <f ca="1"/>
        <v>0</v>
      </c>
      <c r="G54" s="8">
        <f ca="1"/>
        <v>0</v>
      </c>
      <c r="H54" s="11">
        <f ca="1"/>
        <v>-92.171105409195746</v>
      </c>
      <c r="I54" s="8">
        <f ca="1"/>
        <v>1</v>
      </c>
      <c r="J54" s="8">
        <f ca="1"/>
        <v>-7.4180451555609181</v>
      </c>
      <c r="K54">
        <f ca="1"/>
        <v>0</v>
      </c>
      <c r="L54">
        <f ca="1"/>
        <v>15.246939746365172</v>
      </c>
    </row>
    <row r="55" spans="2:12" x14ac:dyDescent="0.55000000000000004">
      <c r="B55">
        <v>0.18</v>
      </c>
      <c r="C55">
        <f ca="1"/>
        <v>-0.74799252226096102</v>
      </c>
      <c r="D55">
        <f ca="1"/>
        <v>1</v>
      </c>
      <c r="E55" s="12">
        <f ca="1"/>
        <v>85.795939614681643</v>
      </c>
      <c r="F55" s="11">
        <f ca="1"/>
        <v>0</v>
      </c>
      <c r="G55" s="8">
        <f ca="1"/>
        <v>0</v>
      </c>
      <c r="H55" s="11">
        <f ca="1"/>
        <v>-92.171105409195746</v>
      </c>
      <c r="I55" s="8">
        <f ca="1"/>
        <v>1</v>
      </c>
      <c r="J55" s="8">
        <f ca="1"/>
        <v>-6.3751657945141034</v>
      </c>
      <c r="K55">
        <f ca="1"/>
        <v>0</v>
      </c>
      <c r="L55">
        <f ca="1"/>
        <v>14.204060385318357</v>
      </c>
    </row>
    <row r="56" spans="2:12" x14ac:dyDescent="0.55000000000000004">
      <c r="B56">
        <v>0.184</v>
      </c>
      <c r="C56">
        <f ca="1"/>
        <v>-0.76586651111633319</v>
      </c>
      <c r="D56">
        <f ca="1"/>
        <v>1</v>
      </c>
      <c r="E56" s="12">
        <f ca="1"/>
        <v>85.482945120004558</v>
      </c>
      <c r="F56" s="11">
        <f ca="1"/>
        <v>0</v>
      </c>
      <c r="G56" s="8">
        <f ca="1"/>
        <v>0</v>
      </c>
      <c r="H56" s="11">
        <f ca="1"/>
        <v>-92.171105409195746</v>
      </c>
      <c r="I56" s="8">
        <f ca="1"/>
        <v>1</v>
      </c>
      <c r="J56" s="8">
        <f ca="1"/>
        <v>-6.6881602891911882</v>
      </c>
      <c r="K56">
        <f ca="1"/>
        <v>0</v>
      </c>
      <c r="L56">
        <f ca="1"/>
        <v>14.517054879995442</v>
      </c>
    </row>
    <row r="57" spans="2:12" x14ac:dyDescent="0.55000000000000004">
      <c r="B57">
        <v>0.188</v>
      </c>
      <c r="C57">
        <f ca="1"/>
        <v>-0.80649184836630228</v>
      </c>
      <c r="D57">
        <f ca="1"/>
        <v>1</v>
      </c>
      <c r="E57" s="12">
        <f ca="1"/>
        <v>84.784421425381538</v>
      </c>
      <c r="F57" s="11">
        <f ca="1"/>
        <v>0</v>
      </c>
      <c r="G57" s="8">
        <f ca="1"/>
        <v>0</v>
      </c>
      <c r="H57" s="11">
        <f ca="1"/>
        <v>-92.171105409195746</v>
      </c>
      <c r="I57" s="8">
        <f ca="1"/>
        <v>1</v>
      </c>
      <c r="J57" s="8">
        <f ca="1"/>
        <v>-7.3866839838142084</v>
      </c>
      <c r="K57">
        <f ca="1"/>
        <v>0</v>
      </c>
      <c r="L57">
        <f ca="1"/>
        <v>15.215578574618462</v>
      </c>
    </row>
    <row r="58" spans="2:12" x14ac:dyDescent="0.55000000000000004">
      <c r="B58">
        <v>0.192</v>
      </c>
      <c r="C58">
        <f ca="1"/>
        <v>-0.84726701994796227</v>
      </c>
      <c r="D58">
        <f ca="1"/>
        <v>1</v>
      </c>
      <c r="E58" s="12">
        <f ca="1"/>
        <v>84.089085791413567</v>
      </c>
      <c r="F58" s="11">
        <f ca="1"/>
        <v>0</v>
      </c>
      <c r="G58" s="8">
        <f ca="1"/>
        <v>0</v>
      </c>
      <c r="H58" s="11">
        <f ca="1"/>
        <v>-92.171105409195746</v>
      </c>
      <c r="I58" s="8">
        <f ca="1"/>
        <v>1</v>
      </c>
      <c r="J58" s="8">
        <f ca="1"/>
        <v>-8.0820196177821799</v>
      </c>
      <c r="K58">
        <f ca="1"/>
        <v>0</v>
      </c>
      <c r="L58">
        <f ca="1"/>
        <v>15.910914208586433</v>
      </c>
    </row>
    <row r="59" spans="2:12" x14ac:dyDescent="0.55000000000000004">
      <c r="B59">
        <v>0.19600000000000001</v>
      </c>
      <c r="C59">
        <f ca="1"/>
        <v>-0.8293024760448684</v>
      </c>
      <c r="D59">
        <f ca="1"/>
        <v>1</v>
      </c>
      <c r="E59" s="12">
        <f ca="1"/>
        <v>84.385002539201224</v>
      </c>
      <c r="F59" s="11">
        <f ca="1"/>
        <v>0</v>
      </c>
      <c r="G59" s="8">
        <f ca="1"/>
        <v>0</v>
      </c>
      <c r="H59" s="11">
        <f ca="1"/>
        <v>-92.171105409195746</v>
      </c>
      <c r="I59" s="8">
        <f ca="1"/>
        <v>1</v>
      </c>
      <c r="J59" s="8">
        <f ca="1"/>
        <v>-7.7861028699945223</v>
      </c>
      <c r="K59">
        <f ca="1"/>
        <v>0</v>
      </c>
      <c r="L59">
        <f ca="1"/>
        <v>15.614997460798776</v>
      </c>
    </row>
    <row r="60" spans="2:12" x14ac:dyDescent="0.55000000000000004">
      <c r="B60">
        <v>0.2</v>
      </c>
      <c r="C60">
        <f ca="1"/>
        <v>-0.8216375465603204</v>
      </c>
      <c r="D60">
        <f ca="1"/>
        <v>1</v>
      </c>
      <c r="E60" s="12">
        <f ca="1"/>
        <v>84.507701876418068</v>
      </c>
      <c r="F60" s="11">
        <f ca="1"/>
        <v>0</v>
      </c>
      <c r="G60" s="8">
        <f ca="1"/>
        <v>0</v>
      </c>
      <c r="H60" s="11">
        <f ca="1"/>
        <v>-92.171105409195746</v>
      </c>
      <c r="I60" s="8">
        <f ca="1"/>
        <v>1</v>
      </c>
      <c r="J60" s="8">
        <f ca="1"/>
        <v>-7.6634035327776786</v>
      </c>
      <c r="K60">
        <f ca="1"/>
        <v>0</v>
      </c>
      <c r="L60">
        <f ca="1"/>
        <v>15.492298123581932</v>
      </c>
    </row>
    <row r="61" spans="2:12" x14ac:dyDescent="0.55000000000000004">
      <c r="B61">
        <v>0.20400000000000001</v>
      </c>
      <c r="C61">
        <f ca="1"/>
        <v>-0.79045181188115421</v>
      </c>
      <c r="D61">
        <f ca="1"/>
        <v>1</v>
      </c>
      <c r="E61" s="12">
        <f ca="1"/>
        <v>85.029633369640393</v>
      </c>
      <c r="F61" s="11">
        <f ca="1"/>
        <v>0</v>
      </c>
      <c r="G61" s="8">
        <f ca="1"/>
        <v>0</v>
      </c>
      <c r="H61" s="11">
        <f ca="1"/>
        <v>-92.171105409195746</v>
      </c>
      <c r="I61" s="8">
        <f ca="1"/>
        <v>1</v>
      </c>
      <c r="J61" s="8">
        <f ca="1"/>
        <v>-7.141472039555353</v>
      </c>
      <c r="K61">
        <f ca="1"/>
        <v>0</v>
      </c>
      <c r="L61">
        <f ca="1"/>
        <v>14.970366630359607</v>
      </c>
    </row>
    <row r="62" spans="2:12" x14ac:dyDescent="0.55000000000000004">
      <c r="B62">
        <v>0.20800000000000002</v>
      </c>
      <c r="C62">
        <f ca="1"/>
        <v>-0.80137628390333304</v>
      </c>
      <c r="D62">
        <f ca="1"/>
        <v>1</v>
      </c>
      <c r="E62" s="12">
        <f ca="1"/>
        <v>84.837268154492023</v>
      </c>
      <c r="F62" s="11">
        <f ca="1"/>
        <v>0</v>
      </c>
      <c r="G62" s="8">
        <f ca="1"/>
        <v>0</v>
      </c>
      <c r="H62" s="11">
        <f ca="1"/>
        <v>-92.171105409195746</v>
      </c>
      <c r="I62" s="8">
        <f ca="1"/>
        <v>1</v>
      </c>
      <c r="J62" s="8">
        <f ca="1"/>
        <v>-7.3338372547037238</v>
      </c>
      <c r="K62">
        <f ca="1"/>
        <v>0</v>
      </c>
      <c r="L62">
        <f ca="1"/>
        <v>15.162731845507977</v>
      </c>
    </row>
    <row r="63" spans="2:12" x14ac:dyDescent="0.55000000000000004">
      <c r="B63">
        <v>0.21199999999999999</v>
      </c>
      <c r="C63">
        <f ca="1"/>
        <v>-0.77940126708588631</v>
      </c>
      <c r="D63">
        <f ca="1"/>
        <v>1</v>
      </c>
      <c r="E63" s="12">
        <f ca="1"/>
        <v>85.204132192479122</v>
      </c>
      <c r="F63" s="11">
        <f ca="1"/>
        <v>0</v>
      </c>
      <c r="G63" s="8">
        <f ca="1"/>
        <v>0</v>
      </c>
      <c r="H63" s="11">
        <f ca="1"/>
        <v>-92.171105409195746</v>
      </c>
      <c r="I63" s="8">
        <f ca="1"/>
        <v>1</v>
      </c>
      <c r="J63" s="8">
        <f ca="1"/>
        <v>-6.9669732167166245</v>
      </c>
      <c r="K63">
        <f ca="1"/>
        <v>0</v>
      </c>
      <c r="L63">
        <f ca="1"/>
        <v>14.795867807520878</v>
      </c>
    </row>
    <row r="64" spans="2:12" x14ac:dyDescent="0.55000000000000004">
      <c r="B64">
        <v>0.216</v>
      </c>
      <c r="C64">
        <f ca="1"/>
        <v>-0.81887375484513392</v>
      </c>
      <c r="D64">
        <f ca="1"/>
        <v>1</v>
      </c>
      <c r="E64" s="12">
        <f ca="1"/>
        <v>84.527374038421812</v>
      </c>
      <c r="F64" s="11">
        <f ca="1"/>
        <v>0</v>
      </c>
      <c r="G64" s="8">
        <f ca="1"/>
        <v>0</v>
      </c>
      <c r="H64" s="11">
        <f ca="1"/>
        <v>-92.171105409195746</v>
      </c>
      <c r="I64" s="8">
        <f ca="1"/>
        <v>1</v>
      </c>
      <c r="J64" s="8">
        <f ca="1"/>
        <v>-7.6437313707739349</v>
      </c>
      <c r="K64">
        <f ca="1"/>
        <v>0</v>
      </c>
      <c r="L64">
        <f ca="1"/>
        <v>15.472625961578188</v>
      </c>
    </row>
    <row r="65" spans="2:12" x14ac:dyDescent="0.55000000000000004">
      <c r="B65">
        <v>0.22</v>
      </c>
      <c r="C65">
        <f ca="1"/>
        <v>-0.82332327054491361</v>
      </c>
      <c r="D65">
        <f ca="1"/>
        <v>1</v>
      </c>
      <c r="E65" s="12">
        <f ca="1"/>
        <v>84.445430418040843</v>
      </c>
      <c r="F65" s="11">
        <f ca="1"/>
        <v>0</v>
      </c>
      <c r="G65" s="8">
        <f ca="1"/>
        <v>0</v>
      </c>
      <c r="H65" s="11">
        <f ca="1"/>
        <v>-92.171105409195746</v>
      </c>
      <c r="I65" s="8">
        <f ca="1"/>
        <v>1</v>
      </c>
      <c r="J65" s="8">
        <f ca="1"/>
        <v>-7.7256749911549036</v>
      </c>
      <c r="K65">
        <f ca="1"/>
        <v>0</v>
      </c>
      <c r="L65">
        <f ca="1"/>
        <v>15.554569581959157</v>
      </c>
    </row>
    <row r="66" spans="2:12" x14ac:dyDescent="0.55000000000000004">
      <c r="B66">
        <v>0.224</v>
      </c>
      <c r="C66">
        <f ca="1"/>
        <v>-0.83985350407621118</v>
      </c>
      <c r="D66">
        <f ca="1"/>
        <v>1</v>
      </c>
      <c r="E66" s="12">
        <f ca="1"/>
        <v>84.159977797202032</v>
      </c>
      <c r="F66" s="11">
        <f ca="1"/>
        <v>0</v>
      </c>
      <c r="G66" s="8">
        <f ca="1"/>
        <v>0</v>
      </c>
      <c r="H66" s="11">
        <f ca="1"/>
        <v>-92.171105409195746</v>
      </c>
      <c r="I66" s="8">
        <f ca="1"/>
        <v>1</v>
      </c>
      <c r="J66" s="8">
        <f ca="1"/>
        <v>-8.0111276119937145</v>
      </c>
      <c r="K66">
        <f ca="1"/>
        <v>0</v>
      </c>
      <c r="L66">
        <f ca="1"/>
        <v>15.840022202797968</v>
      </c>
    </row>
    <row r="67" spans="2:12" x14ac:dyDescent="0.55000000000000004">
      <c r="B67">
        <v>0.22800000000000001</v>
      </c>
      <c r="C67">
        <f ca="1"/>
        <v>-0.90193665904756049</v>
      </c>
      <c r="D67">
        <f ca="1"/>
        <v>1</v>
      </c>
      <c r="E67" s="12">
        <f ca="1"/>
        <v>83.114805776359916</v>
      </c>
      <c r="F67" s="11">
        <f ca="1"/>
        <v>0</v>
      </c>
      <c r="G67" s="8">
        <f ca="1"/>
        <v>0</v>
      </c>
      <c r="H67" s="11">
        <f ca="1"/>
        <v>-92.171105409195746</v>
      </c>
      <c r="I67" s="8">
        <f ca="1"/>
        <v>1</v>
      </c>
      <c r="J67" s="8">
        <f ca="1"/>
        <v>-9.0562996328358309</v>
      </c>
      <c r="K67">
        <f ca="1"/>
        <v>0</v>
      </c>
      <c r="L67">
        <f ca="1"/>
        <v>16.885194223640084</v>
      </c>
    </row>
    <row r="68" spans="2:12" x14ac:dyDescent="0.55000000000000004">
      <c r="B68">
        <v>0.23200000000000001</v>
      </c>
      <c r="C68">
        <f ca="1"/>
        <v>-0.9316501452512238</v>
      </c>
      <c r="D68">
        <f ca="1"/>
        <v>1</v>
      </c>
      <c r="E68" s="12">
        <f ca="1"/>
        <v>82.615734850052831</v>
      </c>
      <c r="F68" s="11">
        <f ca="1"/>
        <v>0</v>
      </c>
      <c r="G68" s="8">
        <f ca="1"/>
        <v>0</v>
      </c>
      <c r="H68" s="11">
        <f ca="1"/>
        <v>-92.171105409195746</v>
      </c>
      <c r="I68" s="8">
        <f ca="1"/>
        <v>1</v>
      </c>
      <c r="J68" s="8">
        <f ca="1"/>
        <v>-9.555370559142915</v>
      </c>
      <c r="K68">
        <f ca="1"/>
        <v>0</v>
      </c>
      <c r="L68">
        <f ca="1"/>
        <v>17.384265149947169</v>
      </c>
    </row>
    <row r="69" spans="2:12" x14ac:dyDescent="0.55000000000000004">
      <c r="B69">
        <v>0.23600000000000002</v>
      </c>
      <c r="C69">
        <f ca="1"/>
        <v>-0.84352188841466036</v>
      </c>
      <c r="D69">
        <f ca="1"/>
        <v>1</v>
      </c>
      <c r="E69" s="12">
        <f ca="1"/>
        <v>84.07807305448307</v>
      </c>
      <c r="F69" s="11">
        <f ca="1"/>
        <v>0</v>
      </c>
      <c r="G69" s="8">
        <f ca="1"/>
        <v>0</v>
      </c>
      <c r="H69" s="11">
        <f ca="1"/>
        <v>-92.171105409195746</v>
      </c>
      <c r="I69" s="8">
        <f ca="1"/>
        <v>1</v>
      </c>
      <c r="J69" s="8">
        <f ca="1"/>
        <v>-8.0930323547126761</v>
      </c>
      <c r="K69">
        <f ca="1"/>
        <v>0</v>
      </c>
      <c r="L69">
        <f ca="1"/>
        <v>15.92192694551693</v>
      </c>
    </row>
    <row r="70" spans="2:12" x14ac:dyDescent="0.55000000000000004">
      <c r="B70">
        <v>0.24</v>
      </c>
      <c r="C70">
        <f ca="1"/>
        <v>-0.8089561678558167</v>
      </c>
      <c r="D70">
        <f ca="1"/>
        <v>1</v>
      </c>
      <c r="E70" s="12">
        <f ca="1"/>
        <v>84.654558003577492</v>
      </c>
      <c r="F70" s="11">
        <f ca="1"/>
        <v>0</v>
      </c>
      <c r="G70" s="8">
        <f ca="1"/>
        <v>0</v>
      </c>
      <c r="H70" s="11">
        <f ca="1"/>
        <v>-92.171105409195746</v>
      </c>
      <c r="I70" s="8">
        <f ca="1"/>
        <v>1</v>
      </c>
      <c r="J70" s="8">
        <f ca="1"/>
        <v>-7.5165474056182546</v>
      </c>
      <c r="K70">
        <f ca="1"/>
        <v>0</v>
      </c>
      <c r="L70">
        <f ca="1"/>
        <v>15.345441996422508</v>
      </c>
    </row>
    <row r="71" spans="2:12" x14ac:dyDescent="0.55000000000000004">
      <c r="B71">
        <v>0.24399999999999999</v>
      </c>
      <c r="C71">
        <f ca="1"/>
        <v>-0.75460445017154276</v>
      </c>
      <c r="D71">
        <f ca="1"/>
        <v>1</v>
      </c>
      <c r="E71" s="12">
        <f ca="1"/>
        <v>85.572955769241318</v>
      </c>
      <c r="F71" s="11">
        <f ca="1"/>
        <v>0</v>
      </c>
      <c r="G71" s="8">
        <f ca="1"/>
        <v>0</v>
      </c>
      <c r="H71" s="11">
        <f ca="1"/>
        <v>-92.171105409195746</v>
      </c>
      <c r="I71" s="8">
        <f ca="1"/>
        <v>1</v>
      </c>
      <c r="J71" s="8">
        <f ca="1"/>
        <v>-6.5981496399544284</v>
      </c>
      <c r="K71">
        <f ca="1"/>
        <v>0</v>
      </c>
      <c r="L71">
        <f ca="1"/>
        <v>14.427044230758682</v>
      </c>
    </row>
    <row r="72" spans="2:12" x14ac:dyDescent="0.55000000000000004">
      <c r="B72">
        <v>0.248</v>
      </c>
      <c r="C72">
        <f ca="1"/>
        <v>-0.72373313246710369</v>
      </c>
      <c r="D72">
        <f ca="1"/>
        <v>1</v>
      </c>
      <c r="E72" s="12">
        <f ca="1"/>
        <v>86.096052238557803</v>
      </c>
      <c r="F72" s="11">
        <f ca="1"/>
        <v>92.171105409195746</v>
      </c>
      <c r="G72" s="8">
        <f ca="1"/>
        <v>-1</v>
      </c>
      <c r="H72" s="11">
        <f ca="1"/>
        <v>0</v>
      </c>
      <c r="I72" s="8">
        <f ca="1"/>
        <v>1</v>
      </c>
      <c r="J72" s="8">
        <f ca="1"/>
        <v>86.096052238557803</v>
      </c>
      <c r="K72">
        <f ca="1"/>
        <v>-6.0750531706379434</v>
      </c>
      <c r="L72">
        <f ca="1"/>
        <v>13.903947761442197</v>
      </c>
    </row>
    <row r="73" spans="2:12" x14ac:dyDescent="0.55000000000000004">
      <c r="E73" s="12"/>
      <c r="F73" s="11"/>
      <c r="G73" s="8"/>
      <c r="H73" s="11"/>
      <c r="I73" s="8"/>
      <c r="J73" s="8"/>
    </row>
    <row r="74" spans="2:12" x14ac:dyDescent="0.55000000000000004">
      <c r="E74" s="12"/>
      <c r="F74" s="11"/>
      <c r="G74" s="8"/>
      <c r="H74" s="11"/>
      <c r="I74" s="8"/>
      <c r="J74" s="8"/>
    </row>
    <row r="75" spans="2:12" x14ac:dyDescent="0.55000000000000004">
      <c r="E75" s="12"/>
      <c r="F75" s="11"/>
      <c r="G75" s="8"/>
      <c r="H75" s="11"/>
      <c r="I75" s="8"/>
      <c r="J75" s="8"/>
    </row>
    <row r="76" spans="2:12" x14ac:dyDescent="0.55000000000000004">
      <c r="E76" s="12"/>
      <c r="F76" s="11"/>
      <c r="G76" s="8"/>
      <c r="H76" s="11"/>
      <c r="I76" s="8"/>
      <c r="J76" s="8"/>
    </row>
    <row r="77" spans="2:12" x14ac:dyDescent="0.55000000000000004">
      <c r="E77" s="12"/>
      <c r="F77" s="11"/>
      <c r="G77" s="8"/>
      <c r="H77" s="11"/>
      <c r="I77" s="8"/>
      <c r="J77" s="8"/>
    </row>
    <row r="78" spans="2:12" x14ac:dyDescent="0.55000000000000004">
      <c r="E78" s="12"/>
      <c r="F78" s="11"/>
      <c r="G78" s="8"/>
      <c r="H78" s="11"/>
      <c r="I78" s="8"/>
      <c r="J78" s="8"/>
    </row>
    <row r="79" spans="2:12" x14ac:dyDescent="0.55000000000000004">
      <c r="E79" s="12"/>
      <c r="F79" s="11"/>
      <c r="G79" s="8"/>
      <c r="H79" s="11"/>
      <c r="I79" s="8"/>
      <c r="J79" s="8"/>
    </row>
    <row r="80" spans="2:12" x14ac:dyDescent="0.55000000000000004">
      <c r="E80" s="12"/>
      <c r="F80" s="11"/>
      <c r="G80" s="8"/>
      <c r="H80" s="11"/>
      <c r="I80" s="8"/>
      <c r="J80" s="8"/>
    </row>
    <row r="81" spans="5:10" x14ac:dyDescent="0.55000000000000004">
      <c r="E81" s="12"/>
      <c r="F81" s="11"/>
      <c r="G81" s="8"/>
      <c r="H81" s="11"/>
      <c r="I81" s="8"/>
      <c r="J81" s="8"/>
    </row>
    <row r="82" spans="5:10" x14ac:dyDescent="0.55000000000000004">
      <c r="E82" s="12"/>
      <c r="F82" s="11"/>
      <c r="G82" s="8"/>
      <c r="H82" s="11"/>
      <c r="I82" s="8"/>
      <c r="J82" s="8"/>
    </row>
    <row r="83" spans="5:10" x14ac:dyDescent="0.55000000000000004">
      <c r="E83" s="12"/>
      <c r="F83" s="11"/>
      <c r="G83" s="8"/>
      <c r="H83" s="11"/>
      <c r="I83" s="8"/>
      <c r="J83" s="8"/>
    </row>
    <row r="84" spans="5:10" x14ac:dyDescent="0.55000000000000004">
      <c r="E84" s="12"/>
      <c r="F84" s="11"/>
      <c r="G84" s="8"/>
      <c r="H84" s="11"/>
      <c r="I84" s="8"/>
      <c r="J84" s="8"/>
    </row>
    <row r="85" spans="5:10" x14ac:dyDescent="0.55000000000000004">
      <c r="E85" s="12"/>
      <c r="F85" s="11"/>
      <c r="G85" s="8"/>
      <c r="H85" s="11"/>
      <c r="I85" s="8"/>
      <c r="J85" s="8"/>
    </row>
    <row r="86" spans="5:10" x14ac:dyDescent="0.55000000000000004">
      <c r="E86" s="12"/>
      <c r="F86" s="11"/>
      <c r="G86" s="8"/>
      <c r="H86" s="11"/>
      <c r="I86" s="8"/>
      <c r="J86" s="8"/>
    </row>
    <row r="87" spans="5:10" x14ac:dyDescent="0.55000000000000004">
      <c r="E87" s="12"/>
      <c r="F87" s="11"/>
      <c r="G87" s="8"/>
      <c r="H87" s="11"/>
      <c r="I87" s="8"/>
      <c r="J87" s="8"/>
    </row>
    <row r="88" spans="5:10" x14ac:dyDescent="0.55000000000000004">
      <c r="E88" s="12"/>
      <c r="F88" s="11"/>
      <c r="G88" s="8"/>
      <c r="H88" s="11"/>
      <c r="I88" s="8"/>
      <c r="J88" s="8"/>
    </row>
    <row r="89" spans="5:10" x14ac:dyDescent="0.55000000000000004">
      <c r="E89" s="12"/>
      <c r="F89" s="11"/>
      <c r="G89" s="8"/>
      <c r="H89" s="11"/>
      <c r="I89" s="8"/>
      <c r="J89" s="8"/>
    </row>
    <row r="90" spans="5:10" x14ac:dyDescent="0.55000000000000004">
      <c r="E90" s="12"/>
      <c r="F90" s="11"/>
      <c r="G90" s="8"/>
      <c r="H90" s="11"/>
      <c r="I90" s="8"/>
      <c r="J90" s="8"/>
    </row>
    <row r="91" spans="5:10" x14ac:dyDescent="0.55000000000000004">
      <c r="E91" s="12"/>
      <c r="F91" s="11"/>
      <c r="G91" s="8"/>
      <c r="H91" s="11"/>
      <c r="I91" s="8"/>
      <c r="J91" s="8"/>
    </row>
    <row r="92" spans="5:10" x14ac:dyDescent="0.55000000000000004">
      <c r="E92" s="12"/>
      <c r="F92" s="11"/>
      <c r="G92" s="8"/>
      <c r="H92" s="11"/>
      <c r="I92" s="8"/>
      <c r="J92" s="8"/>
    </row>
    <row r="93" spans="5:10" x14ac:dyDescent="0.55000000000000004">
      <c r="E93" s="12"/>
      <c r="F93" s="11"/>
      <c r="G93" s="8"/>
      <c r="H93" s="11"/>
      <c r="I93" s="8"/>
      <c r="J93" s="8"/>
    </row>
    <row r="94" spans="5:10" x14ac:dyDescent="0.55000000000000004">
      <c r="E94" s="12"/>
      <c r="F94" s="11"/>
      <c r="G94" s="8"/>
      <c r="H94" s="11"/>
      <c r="I94" s="8"/>
      <c r="J94" s="8"/>
    </row>
    <row r="95" spans="5:10" x14ac:dyDescent="0.55000000000000004">
      <c r="E95" s="12"/>
      <c r="F95" s="11"/>
      <c r="G95" s="8"/>
      <c r="H95" s="11"/>
      <c r="I95" s="8"/>
      <c r="J95" s="8"/>
    </row>
    <row r="96" spans="5:10" x14ac:dyDescent="0.55000000000000004">
      <c r="E96" s="12"/>
      <c r="F96" s="11"/>
      <c r="G96" s="8"/>
      <c r="H96" s="11"/>
      <c r="I96" s="8"/>
      <c r="J96" s="8"/>
    </row>
    <row r="97" spans="5:10" x14ac:dyDescent="0.55000000000000004">
      <c r="E97" s="12"/>
      <c r="F97" s="11"/>
      <c r="G97" s="8"/>
      <c r="H97" s="11"/>
      <c r="I97" s="8"/>
      <c r="J97" s="8"/>
    </row>
    <row r="98" spans="5:10" x14ac:dyDescent="0.55000000000000004">
      <c r="E98" s="12"/>
      <c r="F98" s="11"/>
      <c r="G98" s="8"/>
      <c r="H98" s="11"/>
      <c r="I98" s="8"/>
      <c r="J98" s="8"/>
    </row>
    <row r="99" spans="5:10" x14ac:dyDescent="0.55000000000000004">
      <c r="E99" s="12"/>
      <c r="F99" s="11"/>
      <c r="G99" s="8"/>
      <c r="H99" s="11"/>
      <c r="I99" s="8"/>
    </row>
    <row r="100" spans="5:10" x14ac:dyDescent="0.55000000000000004">
      <c r="E100" s="12"/>
      <c r="F100" s="11"/>
      <c r="G100" s="8"/>
      <c r="H100" s="11"/>
      <c r="I100" s="8"/>
    </row>
    <row r="101" spans="5:10" x14ac:dyDescent="0.55000000000000004">
      <c r="E101" s="12"/>
      <c r="F101" s="11"/>
      <c r="G101" s="8"/>
      <c r="H101" s="11"/>
      <c r="I101" s="8"/>
    </row>
    <row r="102" spans="5:10" x14ac:dyDescent="0.55000000000000004">
      <c r="E102" s="12"/>
      <c r="F102" s="11"/>
      <c r="G102" s="8"/>
      <c r="H102" s="11"/>
      <c r="I102" s="8"/>
    </row>
    <row r="103" spans="5:10" x14ac:dyDescent="0.55000000000000004">
      <c r="E103" s="12"/>
      <c r="F103" s="11"/>
      <c r="G103" s="8"/>
      <c r="H103" s="11"/>
      <c r="I103" s="8"/>
    </row>
    <row r="104" spans="5:10" x14ac:dyDescent="0.55000000000000004">
      <c r="E104" s="12"/>
      <c r="F104" s="11"/>
      <c r="G104" s="8"/>
      <c r="H104" s="11"/>
      <c r="I104" s="8"/>
    </row>
    <row r="105" spans="5:10" x14ac:dyDescent="0.55000000000000004">
      <c r="E105" s="12"/>
      <c r="F105" s="11"/>
      <c r="G105" s="8"/>
      <c r="H105" s="11"/>
      <c r="I105" s="8"/>
    </row>
    <row r="106" spans="5:10" x14ac:dyDescent="0.55000000000000004">
      <c r="E106" s="12"/>
      <c r="F106" s="11"/>
      <c r="G106" s="8"/>
      <c r="H106" s="11"/>
      <c r="I106" s="8"/>
    </row>
    <row r="107" spans="5:10" x14ac:dyDescent="0.55000000000000004">
      <c r="E107" s="12"/>
      <c r="F107" s="11"/>
      <c r="G107" s="8"/>
      <c r="H107" s="11"/>
      <c r="I107" s="8"/>
    </row>
    <row r="108" spans="5:10" x14ac:dyDescent="0.55000000000000004">
      <c r="E108" s="12"/>
      <c r="F108" s="11"/>
      <c r="G108" s="8"/>
      <c r="H108" s="11"/>
      <c r="I108" s="8"/>
    </row>
    <row r="109" spans="5:10" x14ac:dyDescent="0.55000000000000004">
      <c r="E109" s="12"/>
      <c r="F109" s="11"/>
      <c r="G109" s="8"/>
      <c r="H109" s="11"/>
      <c r="I109" s="8"/>
    </row>
    <row r="110" spans="5:10" x14ac:dyDescent="0.55000000000000004">
      <c r="E110" s="12"/>
      <c r="F110" s="11"/>
      <c r="G110" s="8"/>
      <c r="H110" s="11"/>
      <c r="I110" s="8"/>
    </row>
    <row r="111" spans="5:10" x14ac:dyDescent="0.55000000000000004">
      <c r="F111" s="11"/>
      <c r="G111" s="8"/>
      <c r="H111" s="11"/>
      <c r="I111" s="8"/>
    </row>
    <row r="112" spans="5:10" x14ac:dyDescent="0.55000000000000004">
      <c r="F112" s="11"/>
      <c r="G112" s="8"/>
      <c r="H112" s="11"/>
      <c r="I112" s="8"/>
    </row>
    <row r="113" spans="6:9" x14ac:dyDescent="0.55000000000000004">
      <c r="F113" s="11"/>
      <c r="G113" s="8"/>
      <c r="H113" s="11"/>
      <c r="I113" s="8"/>
    </row>
    <row r="114" spans="6:9" x14ac:dyDescent="0.55000000000000004">
      <c r="F114" s="11"/>
      <c r="G114" s="8"/>
      <c r="H114" s="11"/>
      <c r="I114" s="8"/>
    </row>
    <row r="115" spans="6:9" x14ac:dyDescent="0.55000000000000004">
      <c r="F115" s="11"/>
      <c r="G115" s="8"/>
      <c r="H115" s="11"/>
      <c r="I115" s="8"/>
    </row>
    <row r="116" spans="6:9" x14ac:dyDescent="0.55000000000000004">
      <c r="F116" s="11"/>
      <c r="G116" s="8"/>
      <c r="H116" s="11"/>
      <c r="I116" s="8"/>
    </row>
    <row r="117" spans="6:9" x14ac:dyDescent="0.55000000000000004">
      <c r="F117" s="11"/>
      <c r="G117" s="8"/>
      <c r="H117" s="11"/>
      <c r="I117" s="8"/>
    </row>
    <row r="118" spans="6:9" x14ac:dyDescent="0.55000000000000004">
      <c r="F118" s="11"/>
      <c r="G118" s="8"/>
      <c r="H118" s="11"/>
      <c r="I118" s="8"/>
    </row>
    <row r="119" spans="6:9" x14ac:dyDescent="0.55000000000000004">
      <c r="F119" s="11"/>
      <c r="G119" s="8"/>
      <c r="H119" s="11"/>
      <c r="I119" s="8"/>
    </row>
    <row r="120" spans="6:9" x14ac:dyDescent="0.55000000000000004">
      <c r="F120" s="11"/>
      <c r="G120" s="8"/>
      <c r="H120" s="11"/>
      <c r="I120" s="8"/>
    </row>
    <row r="121" spans="6:9" x14ac:dyDescent="0.55000000000000004">
      <c r="F121" s="11"/>
      <c r="G121" s="8"/>
      <c r="H121" s="11"/>
      <c r="I121" s="8"/>
    </row>
    <row r="122" spans="6:9" x14ac:dyDescent="0.55000000000000004">
      <c r="F122" s="11"/>
      <c r="G122" s="8"/>
      <c r="H122" s="11"/>
      <c r="I122" s="8"/>
    </row>
    <row r="123" spans="6:9" x14ac:dyDescent="0.55000000000000004">
      <c r="F123" s="11"/>
      <c r="G123" s="8"/>
      <c r="H123" s="11"/>
      <c r="I123" s="8"/>
    </row>
    <row r="124" spans="6:9" x14ac:dyDescent="0.55000000000000004">
      <c r="F124" s="11"/>
      <c r="G124" s="8"/>
      <c r="H124" s="11"/>
      <c r="I124" s="8"/>
    </row>
    <row r="125" spans="6:9" x14ac:dyDescent="0.55000000000000004">
      <c r="F125" s="11"/>
      <c r="G125" s="8"/>
      <c r="H125" s="11"/>
      <c r="I125" s="8"/>
    </row>
    <row r="126" spans="6:9" x14ac:dyDescent="0.55000000000000004">
      <c r="F126" s="11"/>
      <c r="G126" s="8"/>
      <c r="H126" s="11"/>
      <c r="I126" s="8"/>
    </row>
    <row r="127" spans="6:9" x14ac:dyDescent="0.55000000000000004">
      <c r="F127" s="11"/>
      <c r="G127" s="8"/>
      <c r="H127" s="11"/>
      <c r="I127" s="8"/>
    </row>
    <row r="128" spans="6:9" x14ac:dyDescent="0.55000000000000004">
      <c r="F128" s="11"/>
      <c r="G128" s="8"/>
      <c r="H128" s="11"/>
      <c r="I128" s="8"/>
    </row>
    <row r="129" spans="6:9" x14ac:dyDescent="0.55000000000000004">
      <c r="F129" s="11"/>
      <c r="G129" s="8"/>
      <c r="H129" s="11"/>
      <c r="I129" s="8"/>
    </row>
    <row r="130" spans="6:9" x14ac:dyDescent="0.55000000000000004">
      <c r="F130" s="11"/>
      <c r="G130" s="8"/>
      <c r="H130" s="11"/>
      <c r="I130" s="8"/>
    </row>
    <row r="131" spans="6:9" x14ac:dyDescent="0.55000000000000004">
      <c r="F131" s="11"/>
      <c r="G131" s="8"/>
      <c r="H131" s="11"/>
      <c r="I131" s="8"/>
    </row>
    <row r="132" spans="6:9" x14ac:dyDescent="0.55000000000000004">
      <c r="F132" s="11"/>
      <c r="G132" s="8"/>
      <c r="H132" s="11"/>
      <c r="I132" s="8"/>
    </row>
    <row r="133" spans="6:9" x14ac:dyDescent="0.55000000000000004">
      <c r="F133" s="11"/>
      <c r="G133" s="8"/>
      <c r="H133" s="11"/>
      <c r="I133" s="8"/>
    </row>
    <row r="134" spans="6:9" x14ac:dyDescent="0.55000000000000004">
      <c r="F134" s="11"/>
      <c r="G134" s="8"/>
      <c r="H134" s="11"/>
      <c r="I134" s="8"/>
    </row>
    <row r="135" spans="6:9" x14ac:dyDescent="0.55000000000000004">
      <c r="F135" s="11"/>
      <c r="G135" s="8"/>
      <c r="H135" s="11"/>
      <c r="I135" s="8"/>
    </row>
    <row r="136" spans="6:9" x14ac:dyDescent="0.55000000000000004">
      <c r="F136" s="11"/>
      <c r="G136" s="8"/>
      <c r="H136" s="11"/>
      <c r="I136" s="8"/>
    </row>
    <row r="137" spans="6:9" x14ac:dyDescent="0.55000000000000004">
      <c r="F137" s="11"/>
      <c r="G137" s="8"/>
      <c r="H137" s="11"/>
      <c r="I137" s="8"/>
    </row>
    <row r="138" spans="6:9" x14ac:dyDescent="0.55000000000000004">
      <c r="F138" s="11"/>
      <c r="G138" s="8"/>
      <c r="H138" s="11"/>
      <c r="I138" s="8"/>
    </row>
    <row r="139" spans="6:9" x14ac:dyDescent="0.55000000000000004">
      <c r="F139" s="11"/>
      <c r="G139" s="8"/>
      <c r="H139" s="11"/>
      <c r="I139" s="8"/>
    </row>
    <row r="140" spans="6:9" x14ac:dyDescent="0.55000000000000004">
      <c r="F140" s="11"/>
      <c r="G140" s="8"/>
      <c r="H140" s="11"/>
      <c r="I140" s="8"/>
    </row>
    <row r="141" spans="6:9" x14ac:dyDescent="0.55000000000000004">
      <c r="F141" s="11"/>
      <c r="G141" s="8"/>
      <c r="H141" s="11"/>
      <c r="I141" s="8"/>
    </row>
    <row r="142" spans="6:9" x14ac:dyDescent="0.55000000000000004">
      <c r="F142" s="11"/>
      <c r="G142" s="8"/>
      <c r="H142" s="11"/>
      <c r="I142" s="8"/>
    </row>
    <row r="143" spans="6:9" x14ac:dyDescent="0.55000000000000004">
      <c r="F143" s="11"/>
      <c r="G143" s="8"/>
      <c r="I143" s="8"/>
    </row>
    <row r="144" spans="6:9" x14ac:dyDescent="0.55000000000000004">
      <c r="F144" s="11"/>
      <c r="G144" s="8"/>
      <c r="I144" s="8"/>
    </row>
    <row r="145" spans="6:9" x14ac:dyDescent="0.55000000000000004">
      <c r="F145" s="11"/>
      <c r="G145" s="8"/>
      <c r="I145" s="8"/>
    </row>
    <row r="146" spans="6:9" x14ac:dyDescent="0.55000000000000004">
      <c r="F146" s="11"/>
      <c r="G146" s="8"/>
      <c r="I146" s="8"/>
    </row>
    <row r="147" spans="6:9" x14ac:dyDescent="0.55000000000000004">
      <c r="F147" s="11"/>
      <c r="G147" s="8"/>
      <c r="I147" s="8"/>
    </row>
    <row r="148" spans="6:9" x14ac:dyDescent="0.55000000000000004">
      <c r="F148" s="11"/>
      <c r="G148" s="8"/>
      <c r="I148" s="8"/>
    </row>
    <row r="149" spans="6:9" x14ac:dyDescent="0.55000000000000004">
      <c r="F149" s="11"/>
      <c r="G149" s="8"/>
      <c r="I149" s="8"/>
    </row>
    <row r="150" spans="6:9" x14ac:dyDescent="0.55000000000000004">
      <c r="F150" s="11"/>
      <c r="G150" s="8"/>
      <c r="I150" s="8"/>
    </row>
    <row r="151" spans="6:9" x14ac:dyDescent="0.55000000000000004">
      <c r="F151" s="11"/>
      <c r="G151" s="8"/>
      <c r="I151" s="8"/>
    </row>
    <row r="152" spans="6:9" x14ac:dyDescent="0.55000000000000004">
      <c r="F152" s="11"/>
      <c r="G152" s="8"/>
      <c r="I152" s="8"/>
    </row>
    <row r="153" spans="6:9" x14ac:dyDescent="0.55000000000000004">
      <c r="F153" s="11"/>
      <c r="G153" s="8"/>
      <c r="I153" s="8"/>
    </row>
    <row r="154" spans="6:9" x14ac:dyDescent="0.55000000000000004">
      <c r="F154" s="11"/>
      <c r="G154" s="8"/>
      <c r="I154" s="8"/>
    </row>
    <row r="155" spans="6:9" x14ac:dyDescent="0.55000000000000004">
      <c r="F155" s="11"/>
      <c r="G155" s="8"/>
      <c r="I155" s="8"/>
    </row>
    <row r="156" spans="6:9" x14ac:dyDescent="0.55000000000000004">
      <c r="F156" s="11"/>
      <c r="G156" s="8"/>
      <c r="I156" s="8"/>
    </row>
    <row r="157" spans="6:9" x14ac:dyDescent="0.55000000000000004">
      <c r="F157" s="11"/>
      <c r="G157" s="8"/>
      <c r="I157" s="8"/>
    </row>
    <row r="158" spans="6:9" x14ac:dyDescent="0.55000000000000004">
      <c r="F158" s="11"/>
      <c r="G158" s="8"/>
      <c r="I158" s="8"/>
    </row>
    <row r="159" spans="6:9" x14ac:dyDescent="0.55000000000000004">
      <c r="F159" s="11"/>
      <c r="G159" s="8"/>
      <c r="I159" s="8"/>
    </row>
    <row r="160" spans="6:9" x14ac:dyDescent="0.55000000000000004">
      <c r="F160" s="11"/>
      <c r="G160" s="8"/>
      <c r="I160" s="8"/>
    </row>
    <row r="161" spans="6:9" x14ac:dyDescent="0.55000000000000004">
      <c r="F161" s="11"/>
      <c r="G161" s="8"/>
      <c r="I161" s="8"/>
    </row>
    <row r="162" spans="6:9" x14ac:dyDescent="0.55000000000000004">
      <c r="F162" s="11"/>
      <c r="G162" s="8"/>
      <c r="I162" s="8"/>
    </row>
    <row r="163" spans="6:9" x14ac:dyDescent="0.55000000000000004">
      <c r="F163" s="11"/>
      <c r="G163" s="8"/>
      <c r="I163" s="8"/>
    </row>
    <row r="164" spans="6:9" x14ac:dyDescent="0.55000000000000004">
      <c r="F164" s="11"/>
      <c r="G164" s="8"/>
      <c r="I164" s="8"/>
    </row>
    <row r="165" spans="6:9" x14ac:dyDescent="0.55000000000000004">
      <c r="F165" s="11"/>
      <c r="G165" s="8"/>
    </row>
    <row r="166" spans="6:9" x14ac:dyDescent="0.55000000000000004">
      <c r="F166" s="11"/>
      <c r="G166" s="8"/>
    </row>
    <row r="167" spans="6:9" x14ac:dyDescent="0.55000000000000004">
      <c r="F167" s="11"/>
      <c r="G167" s="8"/>
    </row>
    <row r="168" spans="6:9" x14ac:dyDescent="0.55000000000000004">
      <c r="F168" s="11"/>
      <c r="G168" s="8"/>
    </row>
    <row r="169" spans="6:9" x14ac:dyDescent="0.55000000000000004">
      <c r="F169" s="11"/>
      <c r="G169" s="8"/>
    </row>
    <row r="170" spans="6:9" x14ac:dyDescent="0.55000000000000004">
      <c r="F170" s="11"/>
      <c r="G170" s="8"/>
    </row>
    <row r="171" spans="6:9" x14ac:dyDescent="0.55000000000000004">
      <c r="F171" s="11"/>
      <c r="G171" s="8"/>
    </row>
    <row r="172" spans="6:9" x14ac:dyDescent="0.55000000000000004">
      <c r="F172" s="11"/>
      <c r="G172" s="8"/>
    </row>
    <row r="173" spans="6:9" x14ac:dyDescent="0.55000000000000004">
      <c r="F173" s="11"/>
      <c r="G173" s="8"/>
    </row>
    <row r="174" spans="6:9" x14ac:dyDescent="0.55000000000000004">
      <c r="F174" s="11"/>
      <c r="G174" s="8"/>
    </row>
    <row r="175" spans="6:9" x14ac:dyDescent="0.55000000000000004">
      <c r="F175" s="11"/>
      <c r="G175" s="8"/>
    </row>
    <row r="176" spans="6:9" x14ac:dyDescent="0.55000000000000004">
      <c r="F176" s="11"/>
      <c r="G176" s="8"/>
    </row>
    <row r="177" spans="6:7" x14ac:dyDescent="0.55000000000000004">
      <c r="F177" s="11"/>
      <c r="G177" s="8"/>
    </row>
    <row r="178" spans="6:7" x14ac:dyDescent="0.55000000000000004">
      <c r="F178" s="11"/>
      <c r="G178" s="8"/>
    </row>
    <row r="179" spans="6:7" x14ac:dyDescent="0.55000000000000004">
      <c r="F179" s="11"/>
      <c r="G179" s="8"/>
    </row>
    <row r="180" spans="6:7" x14ac:dyDescent="0.55000000000000004">
      <c r="F180" s="11"/>
      <c r="G180" s="8"/>
    </row>
    <row r="181" spans="6:7" x14ac:dyDescent="0.55000000000000004">
      <c r="F181" s="11"/>
      <c r="G181" s="8"/>
    </row>
    <row r="182" spans="6:7" x14ac:dyDescent="0.55000000000000004">
      <c r="F182" s="11"/>
      <c r="G182" s="8"/>
    </row>
    <row r="183" spans="6:7" x14ac:dyDescent="0.55000000000000004">
      <c r="F183" s="11"/>
      <c r="G183" s="8"/>
    </row>
    <row r="184" spans="6:7" x14ac:dyDescent="0.55000000000000004">
      <c r="F184" s="11"/>
      <c r="G184" s="8"/>
    </row>
    <row r="185" spans="6:7" x14ac:dyDescent="0.55000000000000004">
      <c r="F185" s="11"/>
      <c r="G185" s="8"/>
    </row>
    <row r="186" spans="6:7" x14ac:dyDescent="0.55000000000000004">
      <c r="F186" s="11"/>
      <c r="G186" s="8"/>
    </row>
    <row r="187" spans="6:7" x14ac:dyDescent="0.55000000000000004">
      <c r="G187" s="8"/>
    </row>
    <row r="188" spans="6:7" x14ac:dyDescent="0.55000000000000004">
      <c r="G188" s="8"/>
    </row>
    <row r="189" spans="6:7" x14ac:dyDescent="0.55000000000000004">
      <c r="G189" s="8"/>
    </row>
    <row r="190" spans="6:7" x14ac:dyDescent="0.55000000000000004">
      <c r="G190" s="8"/>
    </row>
    <row r="191" spans="6:7" x14ac:dyDescent="0.55000000000000004">
      <c r="G191" s="8"/>
    </row>
    <row r="192" spans="6:7" x14ac:dyDescent="0.55000000000000004">
      <c r="G192" s="8"/>
    </row>
    <row r="193" spans="7:7" x14ac:dyDescent="0.55000000000000004">
      <c r="G193" s="8"/>
    </row>
    <row r="194" spans="7:7" x14ac:dyDescent="0.55000000000000004">
      <c r="G194" s="8"/>
    </row>
    <row r="195" spans="7:7" x14ac:dyDescent="0.55000000000000004">
      <c r="G195" s="8"/>
    </row>
    <row r="196" spans="7:7" x14ac:dyDescent="0.55000000000000004">
      <c r="G196" s="8"/>
    </row>
    <row r="197" spans="7:7" x14ac:dyDescent="0.55000000000000004">
      <c r="G197" s="8"/>
    </row>
    <row r="198" spans="7:7" x14ac:dyDescent="0.55000000000000004">
      <c r="G198" s="8"/>
    </row>
    <row r="199" spans="7:7" x14ac:dyDescent="0.55000000000000004">
      <c r="G199" s="8"/>
    </row>
    <row r="200" spans="7:7" x14ac:dyDescent="0.55000000000000004">
      <c r="G200" s="8"/>
    </row>
    <row r="201" spans="7:7" x14ac:dyDescent="0.55000000000000004">
      <c r="G201" s="8"/>
    </row>
    <row r="202" spans="7:7" x14ac:dyDescent="0.55000000000000004">
      <c r="G202" s="8"/>
    </row>
    <row r="203" spans="7:7" x14ac:dyDescent="0.55000000000000004">
      <c r="G203" s="8"/>
    </row>
    <row r="204" spans="7:7" x14ac:dyDescent="0.55000000000000004">
      <c r="G204" s="8"/>
    </row>
    <row r="205" spans="7:7" x14ac:dyDescent="0.55000000000000004">
      <c r="G205" s="8"/>
    </row>
    <row r="206" spans="7:7" x14ac:dyDescent="0.55000000000000004">
      <c r="G206" s="8"/>
    </row>
    <row r="207" spans="7:7" x14ac:dyDescent="0.55000000000000004">
      <c r="G207" s="8"/>
    </row>
    <row r="208" spans="7:7" x14ac:dyDescent="0.55000000000000004">
      <c r="G208" s="8"/>
    </row>
  </sheetData>
  <mergeCells count="3">
    <mergeCell ref="D8:E8"/>
    <mergeCell ref="F8:G8"/>
    <mergeCell ref="H8:I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Elementary</vt:lpstr>
      <vt:lpstr>Simulation</vt:lpstr>
      <vt:lpstr>Simulation (2)</vt:lpstr>
      <vt:lpstr>'Simulation (2)'!dt</vt:lpstr>
      <vt:lpstr>dt</vt:lpstr>
      <vt:lpstr>'Simulation (2)'!error</vt:lpstr>
      <vt:lpstr>error</vt:lpstr>
      <vt:lpstr>'Simulation (2)'!f</vt:lpstr>
      <vt:lpstr>f</vt:lpstr>
      <vt:lpstr>'Simulation (2)'!hedge</vt:lpstr>
      <vt:lpstr>hedge</vt:lpstr>
      <vt:lpstr>'Simulation (2)'!k</vt:lpstr>
      <vt:lpstr>k</vt:lpstr>
      <vt:lpstr>'Simulation (2)'!last</vt:lpstr>
      <vt:lpstr>last</vt:lpstr>
      <vt:lpstr>'Simulation (2)'!mu</vt:lpstr>
      <vt:lpstr>mu</vt:lpstr>
      <vt:lpstr>'Simulation (2)'!payoff</vt:lpstr>
      <vt:lpstr>payoff</vt:lpstr>
      <vt:lpstr>'Simulation (2)'!put</vt:lpstr>
      <vt:lpstr>put</vt:lpstr>
      <vt:lpstr>'Simulation (2)'!sigma</vt:lpstr>
      <vt:lpstr>sigma</vt:lpstr>
      <vt:lpstr>'Simulation (2)'!t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2026-02-23T20:58:14Z</dcterms:created>
  <dcterms:modified xsi:type="dcterms:W3CDTF">2026-03-02T20:06:15Z</dcterms:modified>
</cp:coreProperties>
</file>